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46321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46321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46321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46321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54127-2025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45964</v>
      </c>
      <c r="E8" s="1" t="n">
        <v>46321</v>
      </c>
      <c r="F8" t="inlineStr">
        <is>
          <t>SKÅNE LÄN</t>
        </is>
      </c>
      <c r="G8" t="inlineStr">
        <is>
          <t>SVALÖV</t>
        </is>
      </c>
      <c r="I8" t="n">
        <v>1.3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Entita</t>
        </is>
      </c>
      <c r="W8">
        <f>HYPERLINK("https://klasma.github.io/Logging_1214/artfynd/A 54127-2025 artfynd.xlsx", "A 54127-2025")</f>
        <v/>
      </c>
      <c r="X8">
        <f>HYPERLINK("https://klasma.github.io/Logging_1214/kartor/A 54127-2025 karta.png", "A 54127-2025")</f>
        <v/>
      </c>
      <c r="Y8">
        <f>HYPERLINK("https://klasma.github.io/Logging_1214/kartor_geotiff/A 54127-2025 georefererad karta.tif", "A 54127-2025")</f>
        <v/>
      </c>
      <c r="AA8">
        <f>HYPERLINK("https://klasma.github.io/Logging_1214/klagomål/A 54127-2025 FSC-klagomål.docx", "A 54127-2025")</f>
        <v/>
      </c>
      <c r="AB8">
        <f>HYPERLINK("https://klasma.github.io/Logging_1214/klagomålsmail/A 54127-2025 FSC-klagomål mail.docx", "A 54127-2025")</f>
        <v/>
      </c>
      <c r="AC8">
        <f>HYPERLINK("https://klasma.github.io/Logging_1214/tillsyn/A 54127-2025 tillsynsbegäran.docx", "A 54127-2025")</f>
        <v/>
      </c>
      <c r="AD8">
        <f>HYPERLINK("https://klasma.github.io/Logging_1214/tillsynsmail/A 54127-2025 tillsynsbegäran mail.docx", "A 54127-2025")</f>
        <v/>
      </c>
      <c r="AE8">
        <f>HYPERLINK("https://klasma.github.io/Logging_1214/fåglar/A 54127-2025 prioriterade fågelarter.docx", "A 54127-2025")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46321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1577-2024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46321</v>
      </c>
      <c r="F10" t="inlineStr">
        <is>
          <t>SKÅNE LÄN</t>
        </is>
      </c>
      <c r="G10" t="inlineStr">
        <is>
          <t>SVALÖV</t>
        </is>
      </c>
      <c r="I10" t="n">
        <v>21.2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HYPERLINK("https://klasma.github.io/Logging_1214/artfynd/A 1577-2024 artfynd.xlsx", "A 1577-2024")</f>
        <v/>
      </c>
      <c r="X10">
        <f>HYPERLINK("https://klasma.github.io/Logging_1214/kartor/A 1577-2024 karta.png", "A 1577-2024")</f>
        <v/>
      </c>
      <c r="Y10">
        <f>HYPERLINK("https://klasma.github.io/Logging_1214/kartor_geotiff/A 1577-2024 georefererad karta.tif", "A 1577-2024")</f>
        <v/>
      </c>
      <c r="AA10">
        <f>HYPERLINK("https://klasma.github.io/Logging_1214/klagomål/A 1577-2024 FSC-klagomål.docx", "A 1577-2024")</f>
        <v/>
      </c>
      <c r="AB10">
        <f>HYPERLINK("https://klasma.github.io/Logging_1214/klagomålsmail/A 1577-2024 FSC-klagomål mail.docx", "A 1577-2024")</f>
        <v/>
      </c>
      <c r="AC10">
        <f>HYPERLINK("https://klasma.github.io/Logging_1214/tillsyn/A 1577-2024 tillsynsbegäran.docx", "A 1577-2024")</f>
        <v/>
      </c>
      <c r="AD10">
        <f>HYPERLINK("https://klasma.github.io/Logging_1214/tillsynsmail/A 1577-2024 tillsynsbegäran mail.docx", "A 1577-2024")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46321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46321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46321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46321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Korndådra</t>
        </is>
      </c>
      <c r="W14">
        <f>HYPERLINK("https://klasma.github.io/Logging_1214/artfynd/A 11170-2023 artfynd.xlsx", "A 11170-2023")</f>
        <v/>
      </c>
      <c r="X14">
        <f>HYPERLINK("https://klasma.github.io/Logging_1214/kartor/A 11170-2023 karta.png", "A 11170-2023")</f>
        <v/>
      </c>
      <c r="Y14">
        <f>HYPERLINK("https://klasma.github.io/Logging_1214/kartor_geotiff/A 11170-2023 georefererad karta.tif", "A 11170-2023")</f>
        <v/>
      </c>
      <c r="AA14">
        <f>HYPERLINK("https://klasma.github.io/Logging_1214/klagomål/A 11170-2023 FSC-klagomål.docx", "A 11170-2023")</f>
        <v/>
      </c>
      <c r="AB14">
        <f>HYPERLINK("https://klasma.github.io/Logging_1214/klagomålsmail/A 11170-2023 FSC-klagomål mail.docx", "A 11170-2023")</f>
        <v/>
      </c>
      <c r="AC14">
        <f>HYPERLINK("https://klasma.github.io/Logging_1214/tillsyn/A 11170-2023 tillsynsbegäran.docx", "A 11170-2023")</f>
        <v/>
      </c>
      <c r="AD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46321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46321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46321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46321</v>
      </c>
      <c r="F22" t="inlineStr">
        <is>
          <t>SKÅNE LÄN</t>
        </is>
      </c>
      <c r="G22" t="inlineStr">
        <is>
          <t>SVALÖV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61620-2022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44910</v>
      </c>
      <c r="E23" s="1" t="n">
        <v>46321</v>
      </c>
      <c r="F23" t="inlineStr">
        <is>
          <t>SKÅNE LÄN</t>
        </is>
      </c>
      <c r="G23" t="inlineStr">
        <is>
          <t>SVALÖV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45386</v>
      </c>
      <c r="E24" s="1" t="n">
        <v>46321</v>
      </c>
      <c r="F24" t="inlineStr">
        <is>
          <t>SKÅNE LÄN</t>
        </is>
      </c>
      <c r="G24" t="inlineStr">
        <is>
          <t>SVALÖV</t>
        </is>
      </c>
      <c r="I24" t="n">
        <v>13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42706-2025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46321</v>
      </c>
      <c r="F25" t="inlineStr">
        <is>
          <t>SKÅNE LÄN</t>
        </is>
      </c>
      <c r="G25" t="inlineStr">
        <is>
          <t>SVALÖV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43425-2025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46321</v>
      </c>
      <c r="F26" t="inlineStr">
        <is>
          <t>SKÅNE LÄN</t>
        </is>
      </c>
      <c r="G26" t="inlineStr">
        <is>
          <t>SVALÖV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46321</v>
      </c>
      <c r="F27" t="inlineStr">
        <is>
          <t>SKÅNE LÄN</t>
        </is>
      </c>
      <c r="G27" t="inlineStr">
        <is>
          <t>SVALÖV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46321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46321</v>
      </c>
      <c r="F29" t="inlineStr">
        <is>
          <t>SKÅNE LÄN</t>
        </is>
      </c>
      <c r="G29" t="inlineStr">
        <is>
          <t>SVALÖV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46321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45987</v>
      </c>
      <c r="E31" s="1" t="n">
        <v>46321</v>
      </c>
      <c r="F31" t="inlineStr">
        <is>
          <t>SKÅNE LÄN</t>
        </is>
      </c>
      <c r="G31" t="inlineStr">
        <is>
          <t>SVALÖV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46321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46321</v>
      </c>
      <c r="F33" t="inlineStr">
        <is>
          <t>SKÅNE LÄN</t>
        </is>
      </c>
      <c r="G33" t="inlineStr">
        <is>
          <t>SVALÖV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44993</v>
      </c>
      <c r="E34" s="1" t="n">
        <v>46321</v>
      </c>
      <c r="F34" t="inlineStr">
        <is>
          <t>SKÅNE LÄN</t>
        </is>
      </c>
      <c r="G34" t="inlineStr">
        <is>
          <t>SVALÖV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46177</v>
      </c>
      <c r="E35" s="1" t="n">
        <v>46321</v>
      </c>
      <c r="F35" t="inlineStr">
        <is>
          <t>SKÅNE LÄN</t>
        </is>
      </c>
      <c r="G35" t="inlineStr">
        <is>
          <t>SVALÖV</t>
        </is>
      </c>
      <c r="I35" t="n">
        <v>8.5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46321</v>
      </c>
      <c r="F36" t="inlineStr">
        <is>
          <t>SKÅNE LÄN</t>
        </is>
      </c>
      <c r="G36" t="inlineStr">
        <is>
          <t>SVALÖV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45442</v>
      </c>
      <c r="E37" s="1" t="n">
        <v>46321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32620-2023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46321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46321</v>
      </c>
      <c r="F39" t="inlineStr">
        <is>
          <t>SKÅNE LÄN</t>
        </is>
      </c>
      <c r="G39" t="inlineStr">
        <is>
          <t>SVALÖV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46321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44588</v>
      </c>
      <c r="E41" s="1" t="n">
        <v>46321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15487-2025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45747</v>
      </c>
      <c r="E42" s="1" t="n">
        <v>46321</v>
      </c>
      <c r="F42" t="inlineStr">
        <is>
          <t>SKÅNE LÄN</t>
        </is>
      </c>
      <c r="G42" t="inlineStr">
        <is>
          <t>SVALÖV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25832-2026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46321</v>
      </c>
      <c r="F43" t="inlineStr">
        <is>
          <t>SKÅNE LÄN</t>
        </is>
      </c>
      <c r="G43" t="inlineStr">
        <is>
          <t>SVALÖV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46321</v>
      </c>
      <c r="F44" t="inlineStr">
        <is>
          <t>SKÅNE LÄN</t>
        </is>
      </c>
      <c r="G44" t="inlineStr">
        <is>
          <t>SVALÖV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30535-2026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46321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46321</v>
      </c>
      <c r="F46" t="inlineStr">
        <is>
          <t>SKÅNE LÄN</t>
        </is>
      </c>
      <c r="G46" t="inlineStr">
        <is>
          <t>SVALÖV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46321</v>
      </c>
      <c r="F47" t="inlineStr">
        <is>
          <t>SKÅNE LÄN</t>
        </is>
      </c>
      <c r="G47" t="inlineStr">
        <is>
          <t>SVALÖV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46321</v>
      </c>
      <c r="F48" t="inlineStr">
        <is>
          <t>SKÅNE LÄN</t>
        </is>
      </c>
      <c r="G48" t="inlineStr">
        <is>
          <t>SVALÖV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46321</v>
      </c>
      <c r="F49" t="inlineStr">
        <is>
          <t>SKÅNE LÄN</t>
        </is>
      </c>
      <c r="G49" t="inlineStr">
        <is>
          <t>SVALÖV</t>
        </is>
      </c>
      <c r="I49" t="n">
        <v>12.4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46321</v>
      </c>
      <c r="F50" t="inlineStr">
        <is>
          <t>SKÅNE LÄN</t>
        </is>
      </c>
      <c r="G50" t="inlineStr">
        <is>
          <t>SVALÖV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46321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46321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21556-2025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45782</v>
      </c>
      <c r="E53" s="1" t="n">
        <v>46321</v>
      </c>
      <c r="F53" t="inlineStr">
        <is>
          <t>SKÅNE LÄN</t>
        </is>
      </c>
      <c r="G53" t="inlineStr">
        <is>
          <t>SVALÖV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45782</v>
      </c>
      <c r="E54" s="1" t="n">
        <v>46321</v>
      </c>
      <c r="F54" t="inlineStr">
        <is>
          <t>SKÅNE LÄN</t>
        </is>
      </c>
      <c r="G54" t="inlineStr">
        <is>
          <t>SVALÖV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21814-2025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45783</v>
      </c>
      <c r="E55" s="1" t="n">
        <v>46321</v>
      </c>
      <c r="F55" t="inlineStr">
        <is>
          <t>SKÅNE LÄN</t>
        </is>
      </c>
      <c r="G55" t="inlineStr">
        <is>
          <t>SVALÖV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45434</v>
      </c>
      <c r="E56" s="1" t="n">
        <v>46321</v>
      </c>
      <c r="F56" t="inlineStr">
        <is>
          <t>SKÅNE LÄN</t>
        </is>
      </c>
      <c r="G56" t="inlineStr">
        <is>
          <t>SVALÖV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45526</v>
      </c>
      <c r="E57" s="1" t="n">
        <v>46321</v>
      </c>
      <c r="F57" t="inlineStr">
        <is>
          <t>SKÅNE LÄN</t>
        </is>
      </c>
      <c r="G57" t="inlineStr">
        <is>
          <t>SVALÖV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46321</v>
      </c>
      <c r="F58" t="inlineStr">
        <is>
          <t>SKÅNE LÄN</t>
        </is>
      </c>
      <c r="G58" t="inlineStr">
        <is>
          <t>SVALÖV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46321</v>
      </c>
      <c r="F59" t="inlineStr">
        <is>
          <t>SKÅNE LÄN</t>
        </is>
      </c>
      <c r="G59" t="inlineStr">
        <is>
          <t>SVALÖV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46321</v>
      </c>
      <c r="F60" t="inlineStr">
        <is>
          <t>SKÅNE LÄN</t>
        </is>
      </c>
      <c r="G60" t="inlineStr">
        <is>
          <t>SVALÖV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45096</v>
      </c>
      <c r="E61" s="1" t="n">
        <v>46321</v>
      </c>
      <c r="F61" t="inlineStr">
        <is>
          <t>SKÅNE LÄN</t>
        </is>
      </c>
      <c r="G61" t="inlineStr">
        <is>
          <t>SVALÖV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46321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46321</v>
      </c>
      <c r="F63" t="inlineStr">
        <is>
          <t>SKÅNE LÄN</t>
        </is>
      </c>
      <c r="G63" t="inlineStr">
        <is>
          <t>SVALÖV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46321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46051</v>
      </c>
      <c r="E65" s="1" t="n">
        <v>46321</v>
      </c>
      <c r="F65" t="inlineStr">
        <is>
          <t>SKÅNE LÄN</t>
        </is>
      </c>
      <c r="G65" t="inlineStr">
        <is>
          <t>SVALÖV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46297</v>
      </c>
      <c r="E66" s="1" t="n">
        <v>46321</v>
      </c>
      <c r="F66" t="inlineStr">
        <is>
          <t>SKÅNE LÄN</t>
        </is>
      </c>
      <c r="G66" t="inlineStr">
        <is>
          <t>SVALÖV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46297</v>
      </c>
      <c r="E67" s="1" t="n">
        <v>46321</v>
      </c>
      <c r="F67" t="inlineStr">
        <is>
          <t>SKÅNE LÄN</t>
        </is>
      </c>
      <c r="G67" t="inlineStr">
        <is>
          <t>SVALÖV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46297</v>
      </c>
      <c r="E68" s="1" t="n">
        <v>46321</v>
      </c>
      <c r="F68" t="inlineStr">
        <is>
          <t>SKÅNE LÄN</t>
        </is>
      </c>
      <c r="G68" t="inlineStr">
        <is>
          <t>SVALÖV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45785</v>
      </c>
      <c r="E69" s="1" t="n">
        <v>46321</v>
      </c>
      <c r="F69" t="inlineStr">
        <is>
          <t>SKÅNE LÄN</t>
        </is>
      </c>
      <c r="G69" t="inlineStr">
        <is>
          <t>SVALÖV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46297</v>
      </c>
      <c r="E70" s="1" t="n">
        <v>46321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46321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46321</v>
      </c>
      <c r="F72" t="inlineStr">
        <is>
          <t>SKÅNE LÄN</t>
        </is>
      </c>
      <c r="G72" t="inlineStr">
        <is>
          <t>SVALÖV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19282-2025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45769</v>
      </c>
      <c r="E73" s="1" t="n">
        <v>46321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46321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46321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46321</v>
      </c>
      <c r="F76" t="inlineStr">
        <is>
          <t>SKÅNE LÄN</t>
        </is>
      </c>
      <c r="G76" t="inlineStr">
        <is>
          <t>SVALÖV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46321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46321</v>
      </c>
      <c r="F78" t="inlineStr">
        <is>
          <t>SKÅNE LÄN</t>
        </is>
      </c>
      <c r="G78" t="inlineStr">
        <is>
          <t>SVALÖV</t>
        </is>
      </c>
      <c r="H78" t="inlineStr">
        <is>
          <t>Kyrkan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45895</v>
      </c>
      <c r="E79" s="1" t="n">
        <v>46321</v>
      </c>
      <c r="F79" t="inlineStr">
        <is>
          <t>SKÅNE LÄN</t>
        </is>
      </c>
      <c r="G79" t="inlineStr">
        <is>
          <t>SVALÖV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45141</v>
      </c>
      <c r="E80" s="1" t="n">
        <v>46321</v>
      </c>
      <c r="F80" t="inlineStr">
        <is>
          <t>SKÅNE LÄN</t>
        </is>
      </c>
      <c r="G80" t="inlineStr">
        <is>
          <t>SVALÖV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45030</v>
      </c>
      <c r="E81" s="1" t="n">
        <v>46321</v>
      </c>
      <c r="F81" t="inlineStr">
        <is>
          <t>SKÅNE LÄN</t>
        </is>
      </c>
      <c r="G81" t="inlineStr">
        <is>
          <t>SVALÖV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46321</v>
      </c>
      <c r="F82" t="inlineStr">
        <is>
          <t>SKÅNE LÄN</t>
        </is>
      </c>
      <c r="G82" t="inlineStr">
        <is>
          <t>SVALÖV</t>
        </is>
      </c>
      <c r="I82" t="n">
        <v>22.1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46315</v>
      </c>
      <c r="E83" s="1" t="n">
        <v>46321</v>
      </c>
      <c r="F83" t="inlineStr">
        <is>
          <t>SKÅNE LÄN</t>
        </is>
      </c>
      <c r="G83" t="inlineStr">
        <is>
          <t>SVALÖV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46321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46321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46321</v>
      </c>
      <c r="F86" t="inlineStr">
        <is>
          <t>SKÅNE LÄN</t>
        </is>
      </c>
      <c r="G86" t="inlineStr">
        <is>
          <t>SVALÖV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46321</v>
      </c>
      <c r="F87" t="inlineStr">
        <is>
          <t>SKÅNE LÄN</t>
        </is>
      </c>
      <c r="G87" t="inlineStr">
        <is>
          <t>SVALÖV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46321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46321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46321</v>
      </c>
      <c r="F90" t="inlineStr">
        <is>
          <t>SKÅNE LÄN</t>
        </is>
      </c>
      <c r="G90" t="inlineStr">
        <is>
          <t>SVALÖV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46321</v>
      </c>
      <c r="F91" t="inlineStr">
        <is>
          <t>SKÅNE LÄN</t>
        </is>
      </c>
      <c r="G91" t="inlineStr">
        <is>
          <t>SVALÖV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46321</v>
      </c>
      <c r="F92" t="inlineStr">
        <is>
          <t>SKÅNE LÄN</t>
        </is>
      </c>
      <c r="G92" t="inlineStr">
        <is>
          <t>SVALÖV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46321</v>
      </c>
      <c r="F93" t="inlineStr">
        <is>
          <t>SKÅNE LÄN</t>
        </is>
      </c>
      <c r="G93" t="inlineStr">
        <is>
          <t>SVALÖV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45070</v>
      </c>
      <c r="E94" s="1" t="n">
        <v>46321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46321</v>
      </c>
      <c r="F95" t="inlineStr">
        <is>
          <t>SKÅNE LÄN</t>
        </is>
      </c>
      <c r="G95" t="inlineStr">
        <is>
          <t>SVALÖV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18121-2025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46321</v>
      </c>
      <c r="F96" t="inlineStr">
        <is>
          <t>SKÅNE LÄN</t>
        </is>
      </c>
      <c r="G96" t="inlineStr">
        <is>
          <t>SVALÖV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46321</v>
      </c>
      <c r="F97" t="inlineStr">
        <is>
          <t>SKÅNE LÄN</t>
        </is>
      </c>
      <c r="G97" t="inlineStr">
        <is>
          <t>SVALÖV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46321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46321</v>
      </c>
      <c r="F99" t="inlineStr">
        <is>
          <t>SKÅNE LÄN</t>
        </is>
      </c>
      <c r="G99" t="inlineStr">
        <is>
          <t>SVALÖV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46321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45176</v>
      </c>
      <c r="E101" s="1" t="n">
        <v>46321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46321</v>
      </c>
      <c r="F102" t="inlineStr">
        <is>
          <t>SKÅNE LÄN</t>
        </is>
      </c>
      <c r="G102" t="inlineStr">
        <is>
          <t>SVALÖV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46321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46321</v>
      </c>
      <c r="F104" t="inlineStr">
        <is>
          <t>SKÅNE LÄN</t>
        </is>
      </c>
      <c r="G104" t="inlineStr">
        <is>
          <t>SVALÖV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44617</v>
      </c>
      <c r="E105" s="1" t="n">
        <v>46321</v>
      </c>
      <c r="F105" t="inlineStr">
        <is>
          <t>SKÅNE LÄN</t>
        </is>
      </c>
      <c r="G105" t="inlineStr">
        <is>
          <t>SVALÖV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37354-2022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46321</v>
      </c>
      <c r="F106" t="inlineStr">
        <is>
          <t>SKÅNE LÄN</t>
        </is>
      </c>
      <c r="G106" t="inlineStr">
        <is>
          <t>SVALÖV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46321</v>
      </c>
      <c r="F107" t="inlineStr">
        <is>
          <t>SKÅNE LÄN</t>
        </is>
      </c>
      <c r="G107" t="inlineStr">
        <is>
          <t>SVALÖV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17731-2025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45758</v>
      </c>
      <c r="E108" s="1" t="n">
        <v>46321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46321</v>
      </c>
      <c r="F109" t="inlineStr">
        <is>
          <t>SKÅNE LÄN</t>
        </is>
      </c>
      <c r="G109" t="inlineStr">
        <is>
          <t>SVALÖV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46321</v>
      </c>
      <c r="F110" t="inlineStr">
        <is>
          <t>SKÅNE LÄN</t>
        </is>
      </c>
      <c r="G110" t="inlineStr">
        <is>
          <t>SVALÖV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44987</v>
      </c>
      <c r="E111" s="1" t="n">
        <v>46321</v>
      </c>
      <c r="F111" t="inlineStr">
        <is>
          <t>SKÅNE LÄN</t>
        </is>
      </c>
      <c r="G111" t="inlineStr">
        <is>
          <t>SVALÖV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46321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2026-10-26T03:07:54Z</dcterms:created>
  <dcterms:modified xmlns:dcterms="http://purl.org/dc/terms/" xmlns:xsi="http://www.w3.org/2001/XMLSchema-instance" xsi:type="dcterms:W3CDTF">2026-10-26T03:07:54Z</dcterms:modified>
</cp:coreProperties>
</file>