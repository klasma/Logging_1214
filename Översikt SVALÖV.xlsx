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46296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46296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46296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46296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46296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45306</v>
      </c>
      <c r="E7" s="1" t="n">
        <v>46296</v>
      </c>
      <c r="F7" t="inlineStr">
        <is>
          <t>SKÅNE LÄN</t>
        </is>
      </c>
      <c r="G7" t="inlineStr">
        <is>
          <t>SVALÖV</t>
        </is>
      </c>
      <c r="I7" t="n">
        <v>21.2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HYPERLINK("https://klasma.github.io/Logging_1214/artfynd/A 1577-2024 artfynd.xlsx", "A 1577-2024")</f>
        <v/>
      </c>
      <c r="X7">
        <f>HYPERLINK("https://klasma.github.io/Logging_1214/kartor/A 1577-2024 karta.png", "A 1577-2024")</f>
        <v/>
      </c>
      <c r="Y7">
        <f>HYPERLINK("https://klasma.github.io/Logging_1214/kartor_geotiff/A 1577-2024 georefererad karta.tif", "A 1577-2024")</f>
        <v/>
      </c>
      <c r="AA7">
        <f>HYPERLINK("https://klasma.github.io/Logging_1214/klagomål/A 1577-2024 FSC-klagomål.docx", "A 1577-2024")</f>
        <v/>
      </c>
      <c r="AB7">
        <f>HYPERLINK("https://klasma.github.io/Logging_1214/klagomålsmail/A 1577-2024 FSC-klagomål mail.docx", "A 1577-2024")</f>
        <v/>
      </c>
      <c r="AC7">
        <f>HYPERLINK("https://klasma.github.io/Logging_1214/tillsyn/A 1577-2024 tillsynsbegäran.docx", "A 1577-2024")</f>
        <v/>
      </c>
      <c r="AD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46296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8169-2024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45351</v>
      </c>
      <c r="E9" s="1" t="n">
        <v>46296</v>
      </c>
      <c r="F9" t="inlineStr">
        <is>
          <t>SKÅNE LÄN</t>
        </is>
      </c>
      <c r="G9" t="inlineStr">
        <is>
          <t>SVALÖV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Mjukdån</t>
        </is>
      </c>
      <c r="W9">
        <f>HYPERLINK("https://klasma.github.io/Logging_1214/artfynd/A 8169-2024 artfynd.xlsx", "A 8169-2024")</f>
        <v/>
      </c>
      <c r="X9">
        <f>HYPERLINK("https://klasma.github.io/Logging_1214/kartor/A 8169-2024 karta.png", "A 8169-2024")</f>
        <v/>
      </c>
      <c r="Y9">
        <f>HYPERLINK("https://klasma.github.io/Logging_1214/kartor_geotiff/A 8169-2024 georefererad karta.tif", "A 8169-2024")</f>
        <v/>
      </c>
      <c r="AA9">
        <f>HYPERLINK("https://klasma.github.io/Logging_1214/klagomål/A 8169-2024 FSC-klagomål.docx", "A 8169-2024")</f>
        <v/>
      </c>
      <c r="AB9">
        <f>HYPERLINK("https://klasma.github.io/Logging_1214/klagomålsmail/A 8169-2024 FSC-klagomål mail.docx", "A 8169-2024")</f>
        <v/>
      </c>
      <c r="AC9">
        <f>HYPERLINK("https://klasma.github.io/Logging_1214/tillsyn/A 8169-2024 tillsynsbegäran.docx", "A 8169-2024")</f>
        <v/>
      </c>
      <c r="AD9">
        <f>HYPERLINK("https://klasma.github.io/Logging_1214/tillsynsmail/A 8169-2024 tillsynsbegäran mail.docx", "A 8169-2024")</f>
        <v/>
      </c>
    </row>
    <row r="10" ht="15" customHeight="1">
      <c r="A10" t="inlineStr">
        <is>
          <t>A 11170-2023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44987</v>
      </c>
      <c r="E10" s="1" t="n">
        <v>46296</v>
      </c>
      <c r="F10" t="inlineStr">
        <is>
          <t>SKÅNE LÄN</t>
        </is>
      </c>
      <c r="G10" t="inlineStr">
        <is>
          <t>SVALÖV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Korndådra</t>
        </is>
      </c>
      <c r="W10">
        <f>HYPERLINK("https://klasma.github.io/Logging_1214/artfynd/A 11170-2023 artfynd.xlsx", "A 11170-2023")</f>
        <v/>
      </c>
      <c r="X10">
        <f>HYPERLINK("https://klasma.github.io/Logging_1214/kartor/A 11170-2023 karta.png", "A 11170-2023")</f>
        <v/>
      </c>
      <c r="Y10">
        <f>HYPERLINK("https://klasma.github.io/Logging_1214/kartor_geotiff/A 11170-2023 georefererad karta.tif", "A 11170-2023")</f>
        <v/>
      </c>
      <c r="AA10">
        <f>HYPERLINK("https://klasma.github.io/Logging_1214/klagomål/A 11170-2023 FSC-klagomål.docx", "A 11170-2023")</f>
        <v/>
      </c>
      <c r="AB10">
        <f>HYPERLINK("https://klasma.github.io/Logging_1214/klagomålsmail/A 11170-2023 FSC-klagomål mail.docx", "A 11170-2023")</f>
        <v/>
      </c>
      <c r="AC10">
        <f>HYPERLINK("https://klasma.github.io/Logging_1214/tillsyn/A 11170-2023 tillsynsbegäran.docx", "A 11170-2023")</f>
        <v/>
      </c>
      <c r="AD10">
        <f>HYPERLINK("https://klasma.github.io/Logging_1214/tillsynsmail/A 11170-2023 tillsynsbegäran mail.docx", "A 11170-2023")</f>
        <v/>
      </c>
    </row>
    <row r="11" ht="15" customHeight="1">
      <c r="A11" t="inlineStr">
        <is>
          <t>A 20125-2024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45434</v>
      </c>
      <c r="E11" s="1" t="n">
        <v>46296</v>
      </c>
      <c r="F11" t="inlineStr">
        <is>
          <t>SKÅNE LÄN</t>
        </is>
      </c>
      <c r="G11" t="inlineStr">
        <is>
          <t>SVALÖV</t>
        </is>
      </c>
      <c r="I11" t="n">
        <v>5.7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HYPERLINK("https://klasma.github.io/Logging_1214/artfynd/A 20125-2024 artfynd.xlsx", "A 20125-2024")</f>
        <v/>
      </c>
      <c r="X11">
        <f>HYPERLINK("https://klasma.github.io/Logging_1214/kartor/A 20125-2024 karta.png", "A 20125-2024")</f>
        <v/>
      </c>
      <c r="Y11">
        <f>HYPERLINK("https://klasma.github.io/Logging_1214/kartor_geotiff/A 20125-2024 georefererad karta.tif", "A 20125-2024")</f>
        <v/>
      </c>
      <c r="AA11">
        <f>HYPERLINK("https://klasma.github.io/Logging_1214/klagomål/A 20125-2024 FSC-klagomål.docx", "A 20125-2024")</f>
        <v/>
      </c>
      <c r="AB11">
        <f>HYPERLINK("https://klasma.github.io/Logging_1214/klagomålsmail/A 20125-2024 FSC-klagomål mail.docx", "A 20125-2024")</f>
        <v/>
      </c>
      <c r="AC11">
        <f>HYPERLINK("https://klasma.github.io/Logging_1214/tillsyn/A 20125-2024 tillsynsbegäran.docx", "A 20125-2024")</f>
        <v/>
      </c>
      <c r="AD11">
        <f>HYPERLINK("https://klasma.github.io/Logging_1214/tillsynsmail/A 20125-2024 tillsynsbegäran mail.docx", "A 20125-2024")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46296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11672-2024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45373</v>
      </c>
      <c r="E13" s="1" t="n">
        <v>46296</v>
      </c>
      <c r="F13" t="inlineStr">
        <is>
          <t>SKÅNE LÄN</t>
        </is>
      </c>
      <c r="G13" t="inlineStr">
        <is>
          <t>SVALÖV</t>
        </is>
      </c>
      <c r="I13" t="n">
        <v>13.9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Skogsveronika</t>
        </is>
      </c>
      <c r="W13">
        <f>HYPERLINK("https://klasma.github.io/Logging_1214/artfynd/A 11672-2024 artfynd.xlsx", "A 11672-2024")</f>
        <v/>
      </c>
      <c r="X13">
        <f>HYPERLINK("https://klasma.github.io/Logging_1214/kartor/A 11672-2024 karta.png", "A 11672-2024")</f>
        <v/>
      </c>
      <c r="Y13">
        <f>HYPERLINK("https://klasma.github.io/Logging_1214/kartor_geotiff/A 11672-2024 georefererad karta.tif", "A 11672-2024")</f>
        <v/>
      </c>
      <c r="AA13">
        <f>HYPERLINK("https://klasma.github.io/Logging_1214/klagomål/A 11672-2024 FSC-klagomål.docx", "A 11672-2024")</f>
        <v/>
      </c>
      <c r="AB13">
        <f>HYPERLINK("https://klasma.github.io/Logging_1214/klagomålsmail/A 11672-2024 FSC-klagomål mail.docx", "A 11672-2024")</f>
        <v/>
      </c>
      <c r="AC13">
        <f>HYPERLINK("https://klasma.github.io/Logging_1214/tillsyn/A 11672-2024 tillsynsbegäran.docx", "A 11672-2024")</f>
        <v/>
      </c>
      <c r="AD13">
        <f>HYPERLINK("https://klasma.github.io/Logging_1214/tillsynsmail/A 11672-2024 tillsynsbegäran mail.docx", "A 11672-2024")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46296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46296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46296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46296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46296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46296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46296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46296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61495-2021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44501</v>
      </c>
      <c r="E22" s="1" t="n">
        <v>46296</v>
      </c>
      <c r="F22" t="inlineStr">
        <is>
          <t>SKÅNE LÄN</t>
        </is>
      </c>
      <c r="G22" t="inlineStr">
        <is>
          <t>SVALÖV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8332-2025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45708</v>
      </c>
      <c r="E23" s="1" t="n">
        <v>46296</v>
      </c>
      <c r="F23" t="inlineStr">
        <is>
          <t>SKÅNE LÄN</t>
        </is>
      </c>
      <c r="G23" t="inlineStr">
        <is>
          <t>SVALÖV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44112-2023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45188</v>
      </c>
      <c r="E24" s="1" t="n">
        <v>46296</v>
      </c>
      <c r="F24" t="inlineStr">
        <is>
          <t>SKÅNE LÄN</t>
        </is>
      </c>
      <c r="G24" t="inlineStr">
        <is>
          <t>SVALÖV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46296</v>
      </c>
      <c r="F25" t="inlineStr">
        <is>
          <t>SKÅNE LÄN</t>
        </is>
      </c>
      <c r="G25" t="inlineStr">
        <is>
          <t>SVALÖV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44593</v>
      </c>
      <c r="E26" s="1" t="n">
        <v>46296</v>
      </c>
      <c r="F26" t="inlineStr">
        <is>
          <t>SKÅNE LÄN</t>
        </is>
      </c>
      <c r="G26" t="inlineStr">
        <is>
          <t>SVALÖV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44806</v>
      </c>
      <c r="E27" s="1" t="n">
        <v>46296</v>
      </c>
      <c r="F27" t="inlineStr">
        <is>
          <t>SKÅNE LÄN</t>
        </is>
      </c>
      <c r="G27" t="inlineStr">
        <is>
          <t>SVALÖV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44860</v>
      </c>
      <c r="E28" s="1" t="n">
        <v>46296</v>
      </c>
      <c r="F28" t="inlineStr">
        <is>
          <t>SKÅNE LÄN</t>
        </is>
      </c>
      <c r="G28" t="inlineStr">
        <is>
          <t>SVALÖV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11491-2023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44991</v>
      </c>
      <c r="E29" s="1" t="n">
        <v>46296</v>
      </c>
      <c r="F29" t="inlineStr">
        <is>
          <t>SKÅNE LÄN</t>
        </is>
      </c>
      <c r="G29" t="inlineStr">
        <is>
          <t>SVALÖV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44930</v>
      </c>
      <c r="E30" s="1" t="n">
        <v>46296</v>
      </c>
      <c r="F30" t="inlineStr">
        <is>
          <t>SKÅNE LÄN</t>
        </is>
      </c>
      <c r="G30" t="inlineStr">
        <is>
          <t>SVALÖV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11922-2023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44993</v>
      </c>
      <c r="E31" s="1" t="n">
        <v>46296</v>
      </c>
      <c r="F31" t="inlineStr">
        <is>
          <t>SKÅNE LÄN</t>
        </is>
      </c>
      <c r="G31" t="inlineStr">
        <is>
          <t>SVALÖV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46296</v>
      </c>
      <c r="F32" t="inlineStr">
        <is>
          <t>SKÅNE LÄN</t>
        </is>
      </c>
      <c r="G32" t="inlineStr">
        <is>
          <t>SVALÖV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44107-2023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45188</v>
      </c>
      <c r="E33" s="1" t="n">
        <v>46296</v>
      </c>
      <c r="F33" t="inlineStr">
        <is>
          <t>SKÅNE LÄN</t>
        </is>
      </c>
      <c r="G33" t="inlineStr">
        <is>
          <t>SVALÖV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45148</v>
      </c>
      <c r="E34" s="1" t="n">
        <v>46296</v>
      </c>
      <c r="F34" t="inlineStr">
        <is>
          <t>SKÅNE LÄN</t>
        </is>
      </c>
      <c r="G34" t="inlineStr">
        <is>
          <t>SVALÖV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10196-2025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45719</v>
      </c>
      <c r="E35" s="1" t="n">
        <v>46296</v>
      </c>
      <c r="F35" t="inlineStr">
        <is>
          <t>SKÅNE LÄN</t>
        </is>
      </c>
      <c r="G35" t="inlineStr">
        <is>
          <t>SVALÖV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11633-2024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45373</v>
      </c>
      <c r="E36" s="1" t="n">
        <v>46296</v>
      </c>
      <c r="F36" t="inlineStr">
        <is>
          <t>SKÅNE LÄN</t>
        </is>
      </c>
      <c r="G36" t="inlineStr">
        <is>
          <t>SVALÖV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9716-2022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46296</v>
      </c>
      <c r="F37" t="inlineStr">
        <is>
          <t>SKÅNE LÄN</t>
        </is>
      </c>
      <c r="G37" t="inlineStr">
        <is>
          <t>SVALÖV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44588</v>
      </c>
      <c r="E38" s="1" t="n">
        <v>46296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11101-2023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44986</v>
      </c>
      <c r="E39" s="1" t="n">
        <v>46296</v>
      </c>
      <c r="F39" t="inlineStr">
        <is>
          <t>SKÅNE LÄN</t>
        </is>
      </c>
      <c r="G39" t="inlineStr">
        <is>
          <t>SVALÖV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44987</v>
      </c>
      <c r="E40" s="1" t="n">
        <v>46296</v>
      </c>
      <c r="F40" t="inlineStr">
        <is>
          <t>SKÅNE LÄN</t>
        </is>
      </c>
      <c r="G40" t="inlineStr">
        <is>
          <t>SVALÖV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13245-2024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45386</v>
      </c>
      <c r="E41" s="1" t="n">
        <v>46296</v>
      </c>
      <c r="F41" t="inlineStr">
        <is>
          <t>SKÅNE LÄN</t>
        </is>
      </c>
      <c r="G41" t="inlineStr">
        <is>
          <t>SVALÖV</t>
        </is>
      </c>
      <c r="I41" t="n">
        <v>13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45306</v>
      </c>
      <c r="E42" s="1" t="n">
        <v>46296</v>
      </c>
      <c r="F42" t="inlineStr">
        <is>
          <t>SKÅNE LÄN</t>
        </is>
      </c>
      <c r="G42" t="inlineStr">
        <is>
          <t>SVALÖV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35587-2024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45531</v>
      </c>
      <c r="E43" s="1" t="n">
        <v>46296</v>
      </c>
      <c r="F43" t="inlineStr">
        <is>
          <t>SKÅNE LÄN</t>
        </is>
      </c>
      <c r="G43" t="inlineStr">
        <is>
          <t>SVALÖV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45783</v>
      </c>
      <c r="E44" s="1" t="n">
        <v>46296</v>
      </c>
      <c r="F44" t="inlineStr">
        <is>
          <t>SKÅNE LÄN</t>
        </is>
      </c>
      <c r="G44" t="inlineStr">
        <is>
          <t>SVALÖV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20170-2024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45434</v>
      </c>
      <c r="E45" s="1" t="n">
        <v>46296</v>
      </c>
      <c r="F45" t="inlineStr">
        <is>
          <t>SKÅNE LÄN</t>
        </is>
      </c>
      <c r="G45" t="inlineStr">
        <is>
          <t>SVALÖV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44974</v>
      </c>
      <c r="E46" s="1" t="n">
        <v>46296</v>
      </c>
      <c r="F46" t="inlineStr">
        <is>
          <t>SKÅNE LÄN</t>
        </is>
      </c>
      <c r="G46" t="inlineStr">
        <is>
          <t>SVALÖV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21541-2025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45782</v>
      </c>
      <c r="E47" s="1" t="n">
        <v>46296</v>
      </c>
      <c r="F47" t="inlineStr">
        <is>
          <t>SKÅNE LÄN</t>
        </is>
      </c>
      <c r="G47" t="inlineStr">
        <is>
          <t>SVALÖV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21556-2025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46296</v>
      </c>
      <c r="F48" t="inlineStr">
        <is>
          <t>SKÅNE LÄN</t>
        </is>
      </c>
      <c r="G48" t="inlineStr">
        <is>
          <t>SVALÖV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45671</v>
      </c>
      <c r="E49" s="1" t="n">
        <v>46296</v>
      </c>
      <c r="F49" t="inlineStr">
        <is>
          <t>SKÅNE LÄN</t>
        </is>
      </c>
      <c r="G49" t="inlineStr">
        <is>
          <t>SVALÖV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20047-2024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45434</v>
      </c>
      <c r="E50" s="1" t="n">
        <v>46296</v>
      </c>
      <c r="F50" t="inlineStr">
        <is>
          <t>SKÅNE LÄN</t>
        </is>
      </c>
      <c r="G50" t="inlineStr">
        <is>
          <t>SVALÖV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34808-2024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45526</v>
      </c>
      <c r="E51" s="1" t="n">
        <v>46296</v>
      </c>
      <c r="F51" t="inlineStr">
        <is>
          <t>SKÅNE LÄN</t>
        </is>
      </c>
      <c r="G51" t="inlineStr">
        <is>
          <t>SVALÖV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46296</v>
      </c>
      <c r="F52" t="inlineStr">
        <is>
          <t>SKÅNE LÄN</t>
        </is>
      </c>
      <c r="G52" t="inlineStr">
        <is>
          <t>SVALÖV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23747-2025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45793</v>
      </c>
      <c r="E53" s="1" t="n">
        <v>46296</v>
      </c>
      <c r="F53" t="inlineStr">
        <is>
          <t>SKÅNE LÄN</t>
        </is>
      </c>
      <c r="G53" t="inlineStr">
        <is>
          <t>SVALÖV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46296</v>
      </c>
      <c r="F54" t="inlineStr">
        <is>
          <t>SKÅNE LÄN</t>
        </is>
      </c>
      <c r="G54" t="inlineStr">
        <is>
          <t>SVALÖV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32620-2023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45111</v>
      </c>
      <c r="E55" s="1" t="n">
        <v>46296</v>
      </c>
      <c r="F55" t="inlineStr">
        <is>
          <t>SKÅNE LÄN</t>
        </is>
      </c>
      <c r="G55" t="inlineStr">
        <is>
          <t>SVALÖV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10209-2023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44986</v>
      </c>
      <c r="E56" s="1" t="n">
        <v>46296</v>
      </c>
      <c r="F56" t="inlineStr">
        <is>
          <t>SKÅNE LÄN</t>
        </is>
      </c>
      <c r="G56" t="inlineStr">
        <is>
          <t>SVALÖV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24513-2025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45798</v>
      </c>
      <c r="E57" s="1" t="n">
        <v>46296</v>
      </c>
      <c r="F57" t="inlineStr">
        <is>
          <t>SKÅNE LÄN</t>
        </is>
      </c>
      <c r="G57" t="inlineStr">
        <is>
          <t>SVALÖV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27310-2023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45096</v>
      </c>
      <c r="E58" s="1" t="n">
        <v>46296</v>
      </c>
      <c r="F58" t="inlineStr">
        <is>
          <t>SKÅNE LÄN</t>
        </is>
      </c>
      <c r="G58" t="inlineStr">
        <is>
          <t>SVALÖV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45573</v>
      </c>
      <c r="E59" s="1" t="n">
        <v>46296</v>
      </c>
      <c r="F59" t="inlineStr">
        <is>
          <t>SKÅNE LÄN</t>
        </is>
      </c>
      <c r="G59" t="inlineStr">
        <is>
          <t>SVALÖV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17731-2025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45758</v>
      </c>
      <c r="E60" s="1" t="n">
        <v>46296</v>
      </c>
      <c r="F60" t="inlineStr">
        <is>
          <t>SKÅNE LÄN</t>
        </is>
      </c>
      <c r="G60" t="inlineStr">
        <is>
          <t>SVALÖV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45394</v>
      </c>
      <c r="E61" s="1" t="n">
        <v>46296</v>
      </c>
      <c r="F61" t="inlineStr">
        <is>
          <t>SKÅNE LÄN</t>
        </is>
      </c>
      <c r="G61" t="inlineStr">
        <is>
          <t>SVALÖV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46296</v>
      </c>
      <c r="F62" t="inlineStr">
        <is>
          <t>SKÅNE LÄN</t>
        </is>
      </c>
      <c r="G62" t="inlineStr">
        <is>
          <t>SVALÖV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46296</v>
      </c>
      <c r="F63" t="inlineStr">
        <is>
          <t>SKÅNE LÄN</t>
        </is>
      </c>
      <c r="G63" t="inlineStr">
        <is>
          <t>SVALÖV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13273-2024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45386</v>
      </c>
      <c r="E64" s="1" t="n">
        <v>46296</v>
      </c>
      <c r="F64" t="inlineStr">
        <is>
          <t>SKÅNE LÄN</t>
        </is>
      </c>
      <c r="G64" t="inlineStr">
        <is>
          <t>SVALÖV</t>
        </is>
      </c>
      <c r="I64" t="n">
        <v>12.4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21774-2024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45442</v>
      </c>
      <c r="E65" s="1" t="n">
        <v>46296</v>
      </c>
      <c r="F65" t="inlineStr">
        <is>
          <t>SKÅNE LÄN</t>
        </is>
      </c>
      <c r="G65" t="inlineStr">
        <is>
          <t>SVALÖV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62403-2022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44923</v>
      </c>
      <c r="E66" s="1" t="n">
        <v>46296</v>
      </c>
      <c r="F66" t="inlineStr">
        <is>
          <t>SKÅNE LÄN</t>
        </is>
      </c>
      <c r="G66" t="inlineStr">
        <is>
          <t>SVALÖV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22262-2023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45070</v>
      </c>
      <c r="E67" s="1" t="n">
        <v>46296</v>
      </c>
      <c r="F67" t="inlineStr">
        <is>
          <t>SKÅNE LÄN</t>
        </is>
      </c>
      <c r="G67" t="inlineStr">
        <is>
          <t>SVALÖV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46296</v>
      </c>
      <c r="F68" t="inlineStr">
        <is>
          <t>SKÅNE LÄN</t>
        </is>
      </c>
      <c r="G68" t="inlineStr">
        <is>
          <t>SVALÖV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46296</v>
      </c>
      <c r="F69" t="inlineStr">
        <is>
          <t>SKÅNE LÄN</t>
        </is>
      </c>
      <c r="G69" t="inlineStr">
        <is>
          <t>SVALÖV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43736-2023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45182</v>
      </c>
      <c r="E70" s="1" t="n">
        <v>46296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42588-2023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45176</v>
      </c>
      <c r="E71" s="1" t="n">
        <v>46296</v>
      </c>
      <c r="F71" t="inlineStr">
        <is>
          <t>SKÅNE LÄN</t>
        </is>
      </c>
      <c r="G71" t="inlineStr">
        <is>
          <t>SVALÖV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45016</v>
      </c>
      <c r="E72" s="1" t="n">
        <v>46296</v>
      </c>
      <c r="F72" t="inlineStr">
        <is>
          <t>SKÅNE LÄN</t>
        </is>
      </c>
      <c r="G72" t="inlineStr">
        <is>
          <t>SVALÖV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45785</v>
      </c>
      <c r="E73" s="1" t="n">
        <v>46296</v>
      </c>
      <c r="F73" t="inlineStr">
        <is>
          <t>SKÅNE LÄN</t>
        </is>
      </c>
      <c r="G73" t="inlineStr">
        <is>
          <t>SVALÖV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14546-2024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45394</v>
      </c>
      <c r="E74" s="1" t="n">
        <v>46296</v>
      </c>
      <c r="F74" t="inlineStr">
        <is>
          <t>SKÅNE LÄN</t>
        </is>
      </c>
      <c r="G74" t="inlineStr">
        <is>
          <t>SVALÖV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45761</v>
      </c>
      <c r="E75" s="1" t="n">
        <v>46296</v>
      </c>
      <c r="F75" t="inlineStr">
        <is>
          <t>SKÅNE LÄN</t>
        </is>
      </c>
      <c r="G75" t="inlineStr">
        <is>
          <t>SVALÖV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18121-2025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45761</v>
      </c>
      <c r="E76" s="1" t="n">
        <v>46296</v>
      </c>
      <c r="F76" t="inlineStr">
        <is>
          <t>SKÅNE LÄN</t>
        </is>
      </c>
      <c r="G76" t="inlineStr">
        <is>
          <t>SVALÖV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44670</v>
      </c>
      <c r="E77" s="1" t="n">
        <v>46296</v>
      </c>
      <c r="F77" t="inlineStr">
        <is>
          <t>SKÅNE LÄN</t>
        </is>
      </c>
      <c r="G77" t="inlineStr">
        <is>
          <t>SVALÖV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19282-2025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45769</v>
      </c>
      <c r="E78" s="1" t="n">
        <v>46296</v>
      </c>
      <c r="F78" t="inlineStr">
        <is>
          <t>SKÅNE LÄN</t>
        </is>
      </c>
      <c r="G78" t="inlineStr">
        <is>
          <t>SVALÖV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16667-2023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45030</v>
      </c>
      <c r="E79" s="1" t="n">
        <v>46296</v>
      </c>
      <c r="F79" t="inlineStr">
        <is>
          <t>SKÅNE LÄN</t>
        </is>
      </c>
      <c r="G79" t="inlineStr">
        <is>
          <t>SVALÖV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45671</v>
      </c>
      <c r="E80" s="1" t="n">
        <v>46296</v>
      </c>
      <c r="F80" t="inlineStr">
        <is>
          <t>SKÅNE LÄN</t>
        </is>
      </c>
      <c r="G80" t="inlineStr">
        <is>
          <t>SVALÖV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37907-2025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45880</v>
      </c>
      <c r="E81" s="1" t="n">
        <v>46296</v>
      </c>
      <c r="F81" t="inlineStr">
        <is>
          <t>SKÅNE LÄN</t>
        </is>
      </c>
      <c r="G81" t="inlineStr">
        <is>
          <t>SVALÖV</t>
        </is>
      </c>
      <c r="H81" t="inlineStr">
        <is>
          <t>Kyrkan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40470-2025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45895</v>
      </c>
      <c r="E82" s="1" t="n">
        <v>46296</v>
      </c>
      <c r="F82" t="inlineStr">
        <is>
          <t>SKÅNE LÄN</t>
        </is>
      </c>
      <c r="G82" t="inlineStr">
        <is>
          <t>SVALÖV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46296</v>
      </c>
      <c r="F83" t="inlineStr">
        <is>
          <t>SKÅNE LÄN</t>
        </is>
      </c>
      <c r="G83" t="inlineStr">
        <is>
          <t>SVALÖV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45911</v>
      </c>
      <c r="E84" s="1" t="n">
        <v>46296</v>
      </c>
      <c r="F84" t="inlineStr">
        <is>
          <t>SKÅNE LÄN</t>
        </is>
      </c>
      <c r="G84" t="inlineStr">
        <is>
          <t>SVALÖV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45910</v>
      </c>
      <c r="E85" s="1" t="n">
        <v>46296</v>
      </c>
      <c r="F85" t="inlineStr">
        <is>
          <t>SKÅNE LÄN</t>
        </is>
      </c>
      <c r="G85" t="inlineStr">
        <is>
          <t>SVALÖV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47139-2025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46296</v>
      </c>
      <c r="F86" t="inlineStr">
        <is>
          <t>SKÅNE LÄN</t>
        </is>
      </c>
      <c r="G86" t="inlineStr">
        <is>
          <t>SVALÖV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45911</v>
      </c>
      <c r="E87" s="1" t="n">
        <v>46296</v>
      </c>
      <c r="F87" t="inlineStr">
        <is>
          <t>SKÅNE LÄN</t>
        </is>
      </c>
      <c r="G87" t="inlineStr">
        <is>
          <t>SVALÖV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43004-2025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45909</v>
      </c>
      <c r="E88" s="1" t="n">
        <v>46296</v>
      </c>
      <c r="F88" t="inlineStr">
        <is>
          <t>SKÅNE LÄN</t>
        </is>
      </c>
      <c r="G88" t="inlineStr">
        <is>
          <t>SVALÖV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46049</v>
      </c>
      <c r="E89" s="1" t="n">
        <v>46296</v>
      </c>
      <c r="F89" t="inlineStr">
        <is>
          <t>SKÅNE LÄN</t>
        </is>
      </c>
      <c r="G89" t="inlineStr">
        <is>
          <t>SVALÖV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59266-2025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45988</v>
      </c>
      <c r="E90" s="1" t="n">
        <v>46296</v>
      </c>
      <c r="F90" t="inlineStr">
        <is>
          <t>SKÅNE LÄN</t>
        </is>
      </c>
      <c r="G90" t="inlineStr">
        <is>
          <t>SVALÖV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46051</v>
      </c>
      <c r="E91" s="1" t="n">
        <v>46296</v>
      </c>
      <c r="F91" t="inlineStr">
        <is>
          <t>SKÅNE LÄN</t>
        </is>
      </c>
      <c r="G91" t="inlineStr">
        <is>
          <t>SVALÖV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46296</v>
      </c>
      <c r="F92" t="inlineStr">
        <is>
          <t>SKÅNE LÄN</t>
        </is>
      </c>
      <c r="G92" t="inlineStr">
        <is>
          <t>SVALÖV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15747-2026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46107</v>
      </c>
      <c r="E93" s="1" t="n">
        <v>46296</v>
      </c>
      <c r="F93" t="inlineStr">
        <is>
          <t>SKÅNE LÄN</t>
        </is>
      </c>
      <c r="G93" t="inlineStr">
        <is>
          <t>SVALÖV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46042</v>
      </c>
      <c r="E94" s="1" t="n">
        <v>46296</v>
      </c>
      <c r="F94" t="inlineStr">
        <is>
          <t>SKÅNE LÄN</t>
        </is>
      </c>
      <c r="G94" t="inlineStr">
        <is>
          <t>SVALÖV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18926-2026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46127</v>
      </c>
      <c r="E95" s="1" t="n">
        <v>46296</v>
      </c>
      <c r="F95" t="inlineStr">
        <is>
          <t>SKÅNE LÄN</t>
        </is>
      </c>
      <c r="G95" t="inlineStr">
        <is>
          <t>SVALÖV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34810-2023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46296</v>
      </c>
      <c r="F96" t="inlineStr">
        <is>
          <t>SKÅNE LÄN</t>
        </is>
      </c>
      <c r="G96" t="inlineStr">
        <is>
          <t>SVALÖV</t>
        </is>
      </c>
      <c r="I96" t="n">
        <v>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46006</v>
      </c>
      <c r="E97" s="1" t="n">
        <v>46296</v>
      </c>
      <c r="F97" t="inlineStr">
        <is>
          <t>SKÅNE LÄN</t>
        </is>
      </c>
      <c r="G97" t="inlineStr">
        <is>
          <t>SVALÖV</t>
        </is>
      </c>
      <c r="I97" t="n">
        <v>22.1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46127</v>
      </c>
      <c r="E98" s="1" t="n">
        <v>46296</v>
      </c>
      <c r="F98" t="inlineStr">
        <is>
          <t>SKÅNE LÄN</t>
        </is>
      </c>
      <c r="G98" t="inlineStr">
        <is>
          <t>SVALÖV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46169</v>
      </c>
      <c r="E99" s="1" t="n">
        <v>46296</v>
      </c>
      <c r="F99" t="inlineStr">
        <is>
          <t>SKÅNE LÄN</t>
        </is>
      </c>
      <c r="G99" t="inlineStr">
        <is>
          <t>SVALÖV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45987</v>
      </c>
      <c r="E100" s="1" t="n">
        <v>46296</v>
      </c>
      <c r="F100" t="inlineStr">
        <is>
          <t>SKÅNE LÄN</t>
        </is>
      </c>
      <c r="G100" t="inlineStr">
        <is>
          <t>SVALÖV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25522-2026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46177</v>
      </c>
      <c r="E101" s="1" t="n">
        <v>46296</v>
      </c>
      <c r="F101" t="inlineStr">
        <is>
          <t>SKÅNE LÄN</t>
        </is>
      </c>
      <c r="G101" t="inlineStr">
        <is>
          <t>SVALÖV</t>
        </is>
      </c>
      <c r="I101" t="n">
        <v>8.5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29337-2026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46202</v>
      </c>
      <c r="E102" s="1" t="n">
        <v>46296</v>
      </c>
      <c r="F102" t="inlineStr">
        <is>
          <t>SKÅNE LÄN</t>
        </is>
      </c>
      <c r="G102" t="inlineStr">
        <is>
          <t>SVALÖV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25832-2026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46296</v>
      </c>
      <c r="F103" t="inlineStr">
        <is>
          <t>SKÅNE LÄN</t>
        </is>
      </c>
      <c r="G103" t="inlineStr">
        <is>
          <t>SVALÖV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30202-2026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46296</v>
      </c>
      <c r="F104" t="inlineStr">
        <is>
          <t>SKÅNE LÄN</t>
        </is>
      </c>
      <c r="G104" t="inlineStr">
        <is>
          <t>SVALÖV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30535-2026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46210</v>
      </c>
      <c r="E105" s="1" t="n">
        <v>46296</v>
      </c>
      <c r="F105" t="inlineStr">
        <is>
          <t>SKÅNE LÄN</t>
        </is>
      </c>
      <c r="G105" t="inlineStr">
        <is>
          <t>SVALÖV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46097</v>
      </c>
      <c r="E106" s="1" t="n">
        <v>46296</v>
      </c>
      <c r="F106" t="inlineStr">
        <is>
          <t>SKÅNE LÄN</t>
        </is>
      </c>
      <c r="G106" t="inlineStr">
        <is>
          <t>SVALÖV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13787-2026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46097</v>
      </c>
      <c r="E107" s="1" t="n">
        <v>46296</v>
      </c>
      <c r="F107" t="inlineStr">
        <is>
          <t>SKÅNE LÄN</t>
        </is>
      </c>
      <c r="G107" t="inlineStr">
        <is>
          <t>SVALÖV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27380-2026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46189</v>
      </c>
      <c r="E108" s="1" t="n">
        <v>46296</v>
      </c>
      <c r="F108" t="inlineStr">
        <is>
          <t>SKÅNE LÄN</t>
        </is>
      </c>
      <c r="G108" t="inlineStr">
        <is>
          <t>SVALÖV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>
      <c r="A109" t="inlineStr">
        <is>
          <t>S 2185-2025</t>
        </is>
      </c>
      <c r="B109" t="inlineStr">
        <is>
          <t>samrådsanmälan</t>
        </is>
      </c>
      <c r="C109" t="inlineStr">
        <is>
          <t>Skogsbilväg</t>
        </is>
      </c>
      <c r="D109" s="1" t="n">
        <v>45854</v>
      </c>
      <c r="E109" s="1" t="n">
        <v>46296</v>
      </c>
      <c r="F109" t="inlineStr">
        <is>
          <t>SKÅNE LÄN</t>
        </is>
      </c>
      <c r="G109" t="inlineStr">
        <is>
          <t>SVALÖV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2026-10-01T02:04:45Z</dcterms:created>
  <dcterms:modified xmlns:dcterms="http://purl.org/dc/terms/" xmlns:xsi="http://www.w3.org/2001/XMLSchema-instance" xsi:type="dcterms:W3CDTF">2026-10-01T02:04:45Z</dcterms:modified>
</cp:coreProperties>
</file>