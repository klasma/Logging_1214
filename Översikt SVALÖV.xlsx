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46217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46217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46217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Ask
Strutbräken</t>
        </is>
      </c>
      <c r="V4">
        <f>HYPERLINK("https://klasma.github.io/Logging_1214/artfynd/A 15475-2024 artfynd.xlsx", "A 15475-2024")</f>
        <v/>
      </c>
      <c r="W4">
        <f>HYPERLINK("https://klasma.github.io/Logging_1214/kartor/A 15475-2024 karta.png", "A 15475-2024")</f>
        <v/>
      </c>
      <c r="Y4">
        <f>HYPERLINK("https://klasma.github.io/Logging_1214/klagomål/A 15475-2024 FSC-klagomål.docx", "A 15475-2024")</f>
        <v/>
      </c>
      <c r="Z4">
        <f>HYPERLINK("https://klasma.github.io/Logging_1214/klagomålsmail/A 15475-2024 FSC-klagomål mail.docx", "A 15475-2024")</f>
        <v/>
      </c>
      <c r="AA4">
        <f>HYPERLINK("https://klasma.github.io/Logging_1214/tillsyn/A 15475-2024 tillsynsbegäran.docx", "A 15475-2024")</f>
        <v/>
      </c>
      <c r="AB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46217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Skogsknipprot
Stor häxört</t>
        </is>
      </c>
      <c r="V5">
        <f>HYPERLINK("https://klasma.github.io/Logging_1214/artfynd/A 38522-2025 artfynd.xlsx", "A 38522-2025")</f>
        <v/>
      </c>
      <c r="W5">
        <f>HYPERLINK("https://klasma.github.io/Logging_1214/kartor/A 38522-2025 karta.png", "A 38522-2025")</f>
        <v/>
      </c>
      <c r="Y5">
        <f>HYPERLINK("https://klasma.github.io/Logging_1214/klagomål/A 38522-2025 FSC-klagomål.docx", "A 38522-2025")</f>
        <v/>
      </c>
      <c r="Z5">
        <f>HYPERLINK("https://klasma.github.io/Logging_1214/klagomålsmail/A 38522-2025 FSC-klagomål mail.docx", "A 38522-2025")</f>
        <v/>
      </c>
      <c r="AA5">
        <f>HYPERLINK("https://klasma.github.io/Logging_1214/tillsyn/A 38522-2025 tillsynsbegäran.docx", "A 38522-2025")</f>
        <v/>
      </c>
      <c r="AB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46217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46217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Lundticka</t>
        </is>
      </c>
      <c r="V7">
        <f>HYPERLINK("https://klasma.github.io/Logging_1214/artfynd/A 15456-2024 artfynd.xlsx", "A 15456-2024")</f>
        <v/>
      </c>
      <c r="W7">
        <f>HYPERLINK("https://klasma.github.io/Logging_1214/kartor/A 15456-2024 karta.png", "A 15456-2024")</f>
        <v/>
      </c>
      <c r="Y7">
        <f>HYPERLINK("https://klasma.github.io/Logging_1214/klagomål/A 15456-2024 FSC-klagomål.docx", "A 15456-2024")</f>
        <v/>
      </c>
      <c r="Z7">
        <f>HYPERLINK("https://klasma.github.io/Logging_1214/klagomålsmail/A 15456-2024 FSC-klagomål mail.docx", "A 15456-2024")</f>
        <v/>
      </c>
      <c r="AA7">
        <f>HYPERLINK("https://klasma.github.io/Logging_1214/tillsyn/A 15456-2024 tillsynsbegäran.docx", "A 15456-2024")</f>
        <v/>
      </c>
      <c r="AB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46217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Större vattensalamander</t>
        </is>
      </c>
      <c r="V8">
        <f>HYPERLINK("https://klasma.github.io/Logging_1214/artfynd/A 1577-2024 artfynd.xlsx", "A 1577-2024")</f>
        <v/>
      </c>
      <c r="W8">
        <f>HYPERLINK("https://klasma.github.io/Logging_1214/kartor/A 1577-2024 karta.png", "A 1577-2024")</f>
        <v/>
      </c>
      <c r="Y8">
        <f>HYPERLINK("https://klasma.github.io/Logging_1214/klagomål/A 1577-2024 FSC-klagomål.docx", "A 1577-2024")</f>
        <v/>
      </c>
      <c r="Z8">
        <f>HYPERLINK("https://klasma.github.io/Logging_1214/klagomålsmail/A 1577-2024 FSC-klagomål mail.docx", "A 1577-2024")</f>
        <v/>
      </c>
      <c r="AA8">
        <f>HYPERLINK("https://klasma.github.io/Logging_1214/tillsyn/A 1577-2024 tillsynsbegäran.docx", "A 1577-2024")</f>
        <v/>
      </c>
      <c r="AB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46217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HYPERLINK("https://klasma.github.io/Logging_1214/artfynd/A 20125-2024 artfynd.xlsx", "A 20125-2024")</f>
        <v/>
      </c>
      <c r="W9">
        <f>HYPERLINK("https://klasma.github.io/Logging_1214/kartor/A 20125-2024 karta.png", "A 20125-2024")</f>
        <v/>
      </c>
      <c r="Y9">
        <f>HYPERLINK("https://klasma.github.io/Logging_1214/klagomål/A 20125-2024 FSC-klagomål.docx", "A 20125-2024")</f>
        <v/>
      </c>
      <c r="Z9">
        <f>HYPERLINK("https://klasma.github.io/Logging_1214/klagomålsmail/A 20125-2024 FSC-klagomål mail.docx", "A 20125-2024")</f>
        <v/>
      </c>
      <c r="AA9">
        <f>HYPERLINK("https://klasma.github.io/Logging_1214/tillsyn/A 20125-2024 tillsynsbegäran.docx", "A 20125-2024")</f>
        <v/>
      </c>
      <c r="AB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46217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Skogsveronika</t>
        </is>
      </c>
      <c r="V10">
        <f>HYPERLINK("https://klasma.github.io/Logging_1214/artfynd/A 11672-2024 artfynd.xlsx", "A 11672-2024")</f>
        <v/>
      </c>
      <c r="W10">
        <f>HYPERLINK("https://klasma.github.io/Logging_1214/kartor/A 11672-2024 karta.png", "A 11672-2024")</f>
        <v/>
      </c>
      <c r="Y10">
        <f>HYPERLINK("https://klasma.github.io/Logging_1214/klagomål/A 11672-2024 FSC-klagomål.docx", "A 11672-2024")</f>
        <v/>
      </c>
      <c r="Z10">
        <f>HYPERLINK("https://klasma.github.io/Logging_1214/klagomålsmail/A 11672-2024 FSC-klagomål mail.docx", "A 11672-2024")</f>
        <v/>
      </c>
      <c r="AA10">
        <f>HYPERLINK("https://klasma.github.io/Logging_1214/tillsyn/A 11672-2024 tillsynsbegäran.docx", "A 11672-2024")</f>
        <v/>
      </c>
      <c r="AB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46217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Skogsknipprot</t>
        </is>
      </c>
      <c r="V11">
        <f>HYPERLINK("https://klasma.github.io/Logging_1214/artfynd/A 52664-2023 artfynd.xlsx", "A 52664-2023")</f>
        <v/>
      </c>
      <c r="W11">
        <f>HYPERLINK("https://klasma.github.io/Logging_1214/kartor/A 52664-2023 karta.png", "A 52664-2023")</f>
        <v/>
      </c>
      <c r="Y11">
        <f>HYPERLINK("https://klasma.github.io/Logging_1214/klagomål/A 52664-2023 FSC-klagomål.docx", "A 52664-2023")</f>
        <v/>
      </c>
      <c r="Z11">
        <f>HYPERLINK("https://klasma.github.io/Logging_1214/klagomålsmail/A 52664-2023 FSC-klagomål mail.docx", "A 52664-2023")</f>
        <v/>
      </c>
      <c r="AA11">
        <f>HYPERLINK("https://klasma.github.io/Logging_1214/tillsyn/A 52664-2023 tillsynsbegäran.docx", "A 52664-2023")</f>
        <v/>
      </c>
      <c r="AB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46217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HYPERLINK("https://klasma.github.io/Logging_1214/artfynd/A 54127-2025 artfynd.xlsx", "A 54127-2025")</f>
        <v/>
      </c>
      <c r="W12">
        <f>HYPERLINK("https://klasma.github.io/Logging_1214/kartor/A 54127-2025 karta.png", "A 54127-2025")</f>
        <v/>
      </c>
      <c r="Y12">
        <f>HYPERLINK("https://klasma.github.io/Logging_1214/klagomål/A 54127-2025 FSC-klagomål.docx", "A 54127-2025")</f>
        <v/>
      </c>
      <c r="Z12">
        <f>HYPERLINK("https://klasma.github.io/Logging_1214/klagomålsmail/A 54127-2025 FSC-klagomål mail.docx", "A 54127-2025")</f>
        <v/>
      </c>
      <c r="AA12">
        <f>HYPERLINK("https://klasma.github.io/Logging_1214/tillsyn/A 54127-2025 tillsynsbegäran.docx", "A 54127-2025")</f>
        <v/>
      </c>
      <c r="AB12">
        <f>HYPERLINK("https://klasma.github.io/Logging_1214/tillsynsmail/A 54127-2025 tillsynsbegäran mail.docx", "A 54127-2025")</f>
        <v/>
      </c>
      <c r="AC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46217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Korndådra</t>
        </is>
      </c>
      <c r="V13">
        <f>HYPERLINK("https://klasma.github.io/Logging_1214/artfynd/A 11170-2023 artfynd.xlsx", "A 11170-2023")</f>
        <v/>
      </c>
      <c r="W13">
        <f>HYPERLINK("https://klasma.github.io/Logging_1214/kartor/A 11170-2023 karta.png", "A 11170-2023")</f>
        <v/>
      </c>
      <c r="Y13">
        <f>HYPERLINK("https://klasma.github.io/Logging_1214/klagomål/A 11170-2023 FSC-klagomål.docx", "A 11170-2023")</f>
        <v/>
      </c>
      <c r="Z13">
        <f>HYPERLINK("https://klasma.github.io/Logging_1214/klagomålsmail/A 11170-2023 FSC-klagomål mail.docx", "A 11170-2023")</f>
        <v/>
      </c>
      <c r="AA13">
        <f>HYPERLINK("https://klasma.github.io/Logging_1214/tillsyn/A 11170-2023 tillsynsbegäran.docx", "A 11170-2023")</f>
        <v/>
      </c>
      <c r="AB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46217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Mjukdån</t>
        </is>
      </c>
      <c r="V14">
        <f>HYPERLINK("https://klasma.github.io/Logging_1214/artfynd/A 8169-2024 artfynd.xlsx", "A 8169-2024")</f>
        <v/>
      </c>
      <c r="W14">
        <f>HYPERLINK("https://klasma.github.io/Logging_1214/kartor/A 8169-2024 karta.png", "A 8169-2024")</f>
        <v/>
      </c>
      <c r="Y14">
        <f>HYPERLINK("https://klasma.github.io/Logging_1214/klagomål/A 8169-2024 FSC-klagomål.docx", "A 8169-2024")</f>
        <v/>
      </c>
      <c r="Z14">
        <f>HYPERLINK("https://klasma.github.io/Logging_1214/klagomålsmail/A 8169-2024 FSC-klagomål mail.docx", "A 8169-2024")</f>
        <v/>
      </c>
      <c r="AA14">
        <f>HYPERLINK("https://klasma.github.io/Logging_1214/tillsyn/A 8169-2024 tillsynsbegäran.docx", "A 8169-2024")</f>
        <v/>
      </c>
      <c r="AB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46217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46217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46217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46217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46217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46217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46217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46217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46217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46217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46217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16667-2023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45030</v>
      </c>
      <c r="E27" s="1" t="n">
        <v>46217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14543-2024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45394</v>
      </c>
      <c r="E28" s="1" t="n">
        <v>46217</v>
      </c>
      <c r="F28" t="inlineStr">
        <is>
          <t>SKÅNE LÄN</t>
        </is>
      </c>
      <c r="G28" t="inlineStr">
        <is>
          <t>SVALÖV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8332-2025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45708</v>
      </c>
      <c r="E29" s="1" t="n">
        <v>46217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20170-2024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45434</v>
      </c>
      <c r="E30" s="1" t="n">
        <v>46217</v>
      </c>
      <c r="F30" t="inlineStr">
        <is>
          <t>SKÅNE LÄN</t>
        </is>
      </c>
      <c r="G30" t="inlineStr">
        <is>
          <t>SVALÖV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37907-2025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45880</v>
      </c>
      <c r="E31" s="1" t="n">
        <v>46217</v>
      </c>
      <c r="F31" t="inlineStr">
        <is>
          <t>SKÅNE LÄN</t>
        </is>
      </c>
      <c r="G31" t="inlineStr">
        <is>
          <t>SVALÖV</t>
        </is>
      </c>
      <c r="H31" t="inlineStr">
        <is>
          <t>Kyrkan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40470-2025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45895</v>
      </c>
      <c r="E32" s="1" t="n">
        <v>46217</v>
      </c>
      <c r="F32" t="inlineStr">
        <is>
          <t>SKÅNE LÄN</t>
        </is>
      </c>
      <c r="G32" t="inlineStr">
        <is>
          <t>SVALÖV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62403-2022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46217</v>
      </c>
      <c r="F33" t="inlineStr">
        <is>
          <t>SKÅNE LÄN</t>
        </is>
      </c>
      <c r="G33" t="inlineStr">
        <is>
          <t>SVALÖV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45141</v>
      </c>
      <c r="E34" s="1" t="n">
        <v>46217</v>
      </c>
      <c r="F34" t="inlineStr">
        <is>
          <t>SKÅNE LÄN</t>
        </is>
      </c>
      <c r="G34" t="inlineStr">
        <is>
          <t>SVALÖV</t>
        </is>
      </c>
      <c r="I34" t="n">
        <v>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25522-2026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46177</v>
      </c>
      <c r="E35" s="1" t="n">
        <v>46217</v>
      </c>
      <c r="F35" t="inlineStr">
        <is>
          <t>SKÅNE LÄN</t>
        </is>
      </c>
      <c r="G35" t="inlineStr">
        <is>
          <t>SVALÖV</t>
        </is>
      </c>
      <c r="I35" t="n">
        <v>8.5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15157-2023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45016</v>
      </c>
      <c r="E36" s="1" t="n">
        <v>46217</v>
      </c>
      <c r="F36" t="inlineStr">
        <is>
          <t>SKÅNE LÄN</t>
        </is>
      </c>
      <c r="G36" t="inlineStr">
        <is>
          <t>SVALÖV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11491-2023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44991</v>
      </c>
      <c r="E37" s="1" t="n">
        <v>46217</v>
      </c>
      <c r="F37" t="inlineStr">
        <is>
          <t>SKÅNE LÄN</t>
        </is>
      </c>
      <c r="G37" t="inlineStr">
        <is>
          <t>SVALÖV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42706-2025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45908</v>
      </c>
      <c r="E38" s="1" t="n">
        <v>46217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46217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10209-2023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46217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46217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44107-2023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46217</v>
      </c>
      <c r="F42" t="inlineStr">
        <is>
          <t>SKÅNE LÄN</t>
        </is>
      </c>
      <c r="G42" t="inlineStr">
        <is>
          <t>SVALÖV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46006</v>
      </c>
      <c r="E43" s="1" t="n">
        <v>46217</v>
      </c>
      <c r="F43" t="inlineStr">
        <is>
          <t>SKÅNE LÄN</t>
        </is>
      </c>
      <c r="G43" t="inlineStr">
        <is>
          <t>SVALÖV</t>
        </is>
      </c>
      <c r="I43" t="n">
        <v>22.1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20235-2025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46217</v>
      </c>
      <c r="F44" t="inlineStr">
        <is>
          <t>SKÅNE LÄN</t>
        </is>
      </c>
      <c r="G44" t="inlineStr">
        <is>
          <t>SVALÖV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22262-2023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45070</v>
      </c>
      <c r="E45" s="1" t="n">
        <v>46217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48279-2021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46217</v>
      </c>
      <c r="F46" t="inlineStr">
        <is>
          <t>SKÅNE LÄN</t>
        </is>
      </c>
      <c r="G46" t="inlineStr">
        <is>
          <t>SVALÖV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49032-2022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46217</v>
      </c>
      <c r="F47" t="inlineStr">
        <is>
          <t>SKÅNE LÄN</t>
        </is>
      </c>
      <c r="G47" t="inlineStr">
        <is>
          <t>SVALÖV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46217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46217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27380-2026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46217</v>
      </c>
      <c r="F50" t="inlineStr">
        <is>
          <t>SKÅNE LÄN</t>
        </is>
      </c>
      <c r="G50" t="inlineStr">
        <is>
          <t>SVALÖV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59230-2025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46217</v>
      </c>
      <c r="F51" t="inlineStr">
        <is>
          <t>SKÅNE LÄN</t>
        </is>
      </c>
      <c r="G51" t="inlineStr">
        <is>
          <t>SVALÖV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45911</v>
      </c>
      <c r="E52" s="1" t="n">
        <v>46217</v>
      </c>
      <c r="F52" t="inlineStr">
        <is>
          <t>SKÅNE LÄN</t>
        </is>
      </c>
      <c r="G52" t="inlineStr">
        <is>
          <t>SVALÖV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46217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46217</v>
      </c>
      <c r="F54" t="inlineStr">
        <is>
          <t>SKÅNE LÄN</t>
        </is>
      </c>
      <c r="G54" t="inlineStr">
        <is>
          <t>SVALÖV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10196-2025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46217</v>
      </c>
      <c r="F55" t="inlineStr">
        <is>
          <t>SKÅNE LÄN</t>
        </is>
      </c>
      <c r="G55" t="inlineStr">
        <is>
          <t>SVALÖV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44112-2023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46217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46202</v>
      </c>
      <c r="E57" s="1" t="n">
        <v>46217</v>
      </c>
      <c r="F57" t="inlineStr">
        <is>
          <t>SKÅNE LÄN</t>
        </is>
      </c>
      <c r="G57" t="inlineStr">
        <is>
          <t>SVALÖV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46217</v>
      </c>
      <c r="F58" t="inlineStr">
        <is>
          <t>SKÅNE LÄN</t>
        </is>
      </c>
      <c r="G58" t="inlineStr">
        <is>
          <t>SVALÖV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25832-2026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46178</v>
      </c>
      <c r="E59" s="1" t="n">
        <v>46217</v>
      </c>
      <c r="F59" t="inlineStr">
        <is>
          <t>SKÅNE LÄN</t>
        </is>
      </c>
      <c r="G59" t="inlineStr">
        <is>
          <t>SVALÖV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46217</v>
      </c>
      <c r="F60" t="inlineStr">
        <is>
          <t>SKÅNE LÄN</t>
        </is>
      </c>
      <c r="G60" t="inlineStr">
        <is>
          <t>SVALÖV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46217</v>
      </c>
      <c r="F61" t="inlineStr">
        <is>
          <t>SKÅNE LÄN</t>
        </is>
      </c>
      <c r="G61" t="inlineStr">
        <is>
          <t>SVALÖV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46217</v>
      </c>
      <c r="F62" t="inlineStr">
        <is>
          <t>SKÅNE LÄN</t>
        </is>
      </c>
      <c r="G62" t="inlineStr">
        <is>
          <t>SVALÖV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46217</v>
      </c>
      <c r="F63" t="inlineStr">
        <is>
          <t>SKÅNE LÄN</t>
        </is>
      </c>
      <c r="G63" t="inlineStr">
        <is>
          <t>SVALÖV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43736-2023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45182</v>
      </c>
      <c r="E64" s="1" t="n">
        <v>46217</v>
      </c>
      <c r="F64" t="inlineStr">
        <is>
          <t>SKÅNE LÄN</t>
        </is>
      </c>
      <c r="G64" t="inlineStr">
        <is>
          <t>SVALÖV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59266-2025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45988</v>
      </c>
      <c r="E65" s="1" t="n">
        <v>46217</v>
      </c>
      <c r="F65" t="inlineStr">
        <is>
          <t>SKÅNE LÄN</t>
        </is>
      </c>
      <c r="G65" t="inlineStr">
        <is>
          <t>SVALÖV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46217</v>
      </c>
      <c r="F66" t="inlineStr">
        <is>
          <t>SKÅNE LÄN</t>
        </is>
      </c>
      <c r="G66" t="inlineStr">
        <is>
          <t>SVALÖV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46051</v>
      </c>
      <c r="E67" s="1" t="n">
        <v>46217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46217</v>
      </c>
      <c r="F68" t="inlineStr">
        <is>
          <t>SKÅNE LÄN</t>
        </is>
      </c>
      <c r="G68" t="inlineStr">
        <is>
          <t>SVALÖV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18438-2026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46127</v>
      </c>
      <c r="E69" s="1" t="n">
        <v>46217</v>
      </c>
      <c r="F69" t="inlineStr">
        <is>
          <t>SKÅNE LÄN</t>
        </is>
      </c>
      <c r="G69" t="inlineStr">
        <is>
          <t>SVALÖV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14533-2026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46217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46217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13791-2026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46217</v>
      </c>
      <c r="F72" t="inlineStr">
        <is>
          <t>SKÅNE LÄN</t>
        </is>
      </c>
      <c r="G72" t="inlineStr">
        <is>
          <t>SVALÖV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13787-2026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46097</v>
      </c>
      <c r="E73" s="1" t="n">
        <v>46217</v>
      </c>
      <c r="F73" t="inlineStr">
        <is>
          <t>SKÅNE LÄN</t>
        </is>
      </c>
      <c r="G73" t="inlineStr">
        <is>
          <t>SVALÖV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46217</v>
      </c>
      <c r="F74" t="inlineStr">
        <is>
          <t>SKÅNE LÄN</t>
        </is>
      </c>
      <c r="G74" t="inlineStr">
        <is>
          <t>SVALÖV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17731-2025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45758</v>
      </c>
      <c r="E75" s="1" t="n">
        <v>46217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46217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46217</v>
      </c>
      <c r="F77" t="inlineStr">
        <is>
          <t>SKÅNE LÄN</t>
        </is>
      </c>
      <c r="G77" t="inlineStr">
        <is>
          <t>SVALÖV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24286-2026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46169</v>
      </c>
      <c r="E78" s="1" t="n">
        <v>46217</v>
      </c>
      <c r="F78" t="inlineStr">
        <is>
          <t>SKÅNE LÄN</t>
        </is>
      </c>
      <c r="G78" t="inlineStr">
        <is>
          <t>SVALÖV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18926-2026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46127</v>
      </c>
      <c r="E79" s="1" t="n">
        <v>46217</v>
      </c>
      <c r="F79" t="inlineStr">
        <is>
          <t>SKÅNE LÄN</t>
        </is>
      </c>
      <c r="G79" t="inlineStr">
        <is>
          <t>SVALÖV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58970-2025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46217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22792-2024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46217</v>
      </c>
      <c r="F81" t="inlineStr">
        <is>
          <t>SKÅNE LÄN</t>
        </is>
      </c>
      <c r="G81" t="inlineStr">
        <is>
          <t>SVALÖV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30535-2026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46210</v>
      </c>
      <c r="E82" s="1" t="n">
        <v>46217</v>
      </c>
      <c r="F82" t="inlineStr">
        <is>
          <t>SKÅNE LÄN</t>
        </is>
      </c>
      <c r="G82" t="inlineStr">
        <is>
          <t>SVALÖV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46217</v>
      </c>
      <c r="F83" t="inlineStr">
        <is>
          <t>SKÅNE LÄN</t>
        </is>
      </c>
      <c r="G83" t="inlineStr">
        <is>
          <t>SVALÖV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11177-2023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46217</v>
      </c>
      <c r="F84" t="inlineStr">
        <is>
          <t>SKÅNE LÄN</t>
        </is>
      </c>
      <c r="G84" t="inlineStr">
        <is>
          <t>SVALÖV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16215-2022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44670</v>
      </c>
      <c r="E85" s="1" t="n">
        <v>46217</v>
      </c>
      <c r="F85" t="inlineStr">
        <is>
          <t>SKÅNE LÄN</t>
        </is>
      </c>
      <c r="G85" t="inlineStr">
        <is>
          <t>SVALÖV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61620-2022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46217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48262-2021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44449</v>
      </c>
      <c r="E87" s="1" t="n">
        <v>46217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8924-2023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46217</v>
      </c>
      <c r="F88" t="inlineStr">
        <is>
          <t>SKÅNE LÄN</t>
        </is>
      </c>
      <c r="G88" t="inlineStr">
        <is>
          <t>SVALÖV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44930</v>
      </c>
      <c r="E89" s="1" t="n">
        <v>46217</v>
      </c>
      <c r="F89" t="inlineStr">
        <is>
          <t>SKÅNE LÄN</t>
        </is>
      </c>
      <c r="G89" t="inlineStr">
        <is>
          <t>SVALÖV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11633-2024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45373</v>
      </c>
      <c r="E90" s="1" t="n">
        <v>46217</v>
      </c>
      <c r="F90" t="inlineStr">
        <is>
          <t>SKÅNE LÄN</t>
        </is>
      </c>
      <c r="G90" t="inlineStr">
        <is>
          <t>SVALÖV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11922-2023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46217</v>
      </c>
      <c r="F91" t="inlineStr">
        <is>
          <t>SKÅNE LÄN</t>
        </is>
      </c>
      <c r="G91" t="inlineStr">
        <is>
          <t>SVALÖV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14546-2024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46217</v>
      </c>
      <c r="F92" t="inlineStr">
        <is>
          <t>SKÅNE LÄN</t>
        </is>
      </c>
      <c r="G92" t="inlineStr">
        <is>
          <t>SVALÖV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32620-2023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46217</v>
      </c>
      <c r="F93" t="inlineStr">
        <is>
          <t>SKÅNE LÄN</t>
        </is>
      </c>
      <c r="G93" t="inlineStr">
        <is>
          <t>SVALÖV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45306</v>
      </c>
      <c r="E94" s="1" t="n">
        <v>46217</v>
      </c>
      <c r="F94" t="inlineStr">
        <is>
          <t>SKÅNE LÄN</t>
        </is>
      </c>
      <c r="G94" t="inlineStr">
        <is>
          <t>SVALÖV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4149-2022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44588</v>
      </c>
      <c r="E95" s="1" t="n">
        <v>46217</v>
      </c>
      <c r="F95" t="inlineStr">
        <is>
          <t>SKÅNE LÄN</t>
        </is>
      </c>
      <c r="G95" t="inlineStr">
        <is>
          <t>SVALÖV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46217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11101-2023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44986</v>
      </c>
      <c r="E97" s="1" t="n">
        <v>46217</v>
      </c>
      <c r="F97" t="inlineStr">
        <is>
          <t>SKÅNE LÄN</t>
        </is>
      </c>
      <c r="G97" t="inlineStr">
        <is>
          <t>SVALÖV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46217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46217</v>
      </c>
      <c r="F99" t="inlineStr">
        <is>
          <t>SKÅNE LÄN</t>
        </is>
      </c>
      <c r="G99" t="inlineStr">
        <is>
          <t>SVALÖV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44196-2024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45573</v>
      </c>
      <c r="E100" s="1" t="n">
        <v>46217</v>
      </c>
      <c r="F100" t="inlineStr">
        <is>
          <t>SKÅNE LÄN</t>
        </is>
      </c>
      <c r="G100" t="inlineStr">
        <is>
          <t>SVALÖV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46217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46217</v>
      </c>
      <c r="F102" t="inlineStr">
        <is>
          <t>SKÅNE LÄN</t>
        </is>
      </c>
      <c r="G102" t="inlineStr">
        <is>
          <t>SVALÖV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46217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46217</v>
      </c>
      <c r="F104" t="inlineStr">
        <is>
          <t>SKÅNE LÄN</t>
        </is>
      </c>
      <c r="G104" t="inlineStr">
        <is>
          <t>SVALÖV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45526</v>
      </c>
      <c r="E105" s="1" t="n">
        <v>46217</v>
      </c>
      <c r="F105" t="inlineStr">
        <is>
          <t>SKÅNE LÄN</t>
        </is>
      </c>
      <c r="G105" t="inlineStr">
        <is>
          <t>SVALÖV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46217</v>
      </c>
      <c r="F106" t="inlineStr">
        <is>
          <t>SKÅNE LÄN</t>
        </is>
      </c>
      <c r="G106" t="inlineStr">
        <is>
          <t>SVALÖV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23747-2025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46217</v>
      </c>
      <c r="F107" t="inlineStr">
        <is>
          <t>SKÅNE LÄN</t>
        </is>
      </c>
      <c r="G107" t="inlineStr">
        <is>
          <t>SVALÖV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24513-2025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46217</v>
      </c>
      <c r="F108" t="inlineStr">
        <is>
          <t>SKÅNE LÄN</t>
        </is>
      </c>
      <c r="G108" t="inlineStr">
        <is>
          <t>SVALÖV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27310-2023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46217</v>
      </c>
      <c r="F109" t="inlineStr">
        <is>
          <t>SKÅNE LÄN</t>
        </is>
      </c>
      <c r="G109" t="inlineStr">
        <is>
          <t>SVALÖV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46217</v>
      </c>
      <c r="F110" t="inlineStr">
        <is>
          <t>SKÅNE LÄN</t>
        </is>
      </c>
      <c r="G110" t="inlineStr">
        <is>
          <t>SVALÖV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17980-2025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46217</v>
      </c>
      <c r="F111" t="inlineStr">
        <is>
          <t>SKÅNE LÄN</t>
        </is>
      </c>
      <c r="G111" t="inlineStr">
        <is>
          <t>SVALÖV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19282-2025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45769</v>
      </c>
      <c r="E112" s="1" t="n">
        <v>46217</v>
      </c>
      <c r="F112" t="inlineStr">
        <is>
          <t>SKÅNE LÄN</t>
        </is>
      </c>
      <c r="G112" t="inlineStr">
        <is>
          <t>SVALÖV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>
      <c r="A113" t="inlineStr">
        <is>
          <t>S 2185-2025</t>
        </is>
      </c>
      <c r="B113" t="inlineStr">
        <is>
          <t>samrådsanmälan</t>
        </is>
      </c>
      <c r="C113" t="inlineStr">
        <is>
          <t>Skogsbilväg</t>
        </is>
      </c>
      <c r="D113" s="1" t="n">
        <v>45854</v>
      </c>
      <c r="E113" s="1" t="n">
        <v>46217</v>
      </c>
      <c r="F113" t="inlineStr">
        <is>
          <t>SKÅNE LÄN</t>
        </is>
      </c>
      <c r="G113" t="inlineStr">
        <is>
          <t>SVALÖV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2026-07-14T08:58:53Z</dcterms:created>
  <dcterms:modified xmlns:dcterms="http://purl.org/dc/terms/" xmlns:xsi="http://www.w3.org/2001/XMLSchema-instance" xsi:type="dcterms:W3CDTF">2026-07-14T08:58:53Z</dcterms:modified>
</cp:coreProperties>
</file>