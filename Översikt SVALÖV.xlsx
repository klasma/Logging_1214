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46020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46020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46020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46020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8169-2024</t>
        </is>
      </c>
      <c r="B6" s="1" t="n">
        <v>45351</v>
      </c>
      <c r="C6" s="1" t="n">
        <v>46020</v>
      </c>
      <c r="D6" t="inlineStr">
        <is>
          <t>SKÅNE LÄN</t>
        </is>
      </c>
      <c r="E6" t="inlineStr">
        <is>
          <t>SVALÖV</t>
        </is>
      </c>
      <c r="G6" t="n">
        <v>3.1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Mjukdån</t>
        </is>
      </c>
      <c r="S6">
        <f>HYPERLINK("https://klasma.github.io/Logging_1214/artfynd/A 8169-2024 artfynd.xlsx", "A 8169-2024")</f>
        <v/>
      </c>
      <c r="T6">
        <f>HYPERLINK("https://klasma.github.io/Logging_1214/kartor/A 8169-2024 karta.png", "A 8169-2024")</f>
        <v/>
      </c>
      <c r="V6">
        <f>HYPERLINK("https://klasma.github.io/Logging_1214/klagomål/A 8169-2024 FSC-klagomål.docx", "A 8169-2024")</f>
        <v/>
      </c>
      <c r="W6">
        <f>HYPERLINK("https://klasma.github.io/Logging_1214/klagomålsmail/A 8169-2024 FSC-klagomål mail.docx", "A 8169-2024")</f>
        <v/>
      </c>
      <c r="X6">
        <f>HYPERLINK("https://klasma.github.io/Logging_1214/tillsyn/A 8169-2024 tillsynsbegäran.docx", "A 8169-2024")</f>
        <v/>
      </c>
      <c r="Y6">
        <f>HYPERLINK("https://klasma.github.io/Logging_1214/tillsynsmail/A 8169-2024 tillsynsbegäran mail.docx", "A 8169-2024")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46020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46020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46020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46020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46020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46020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46020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46020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46020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46020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46020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46020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46020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46020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46020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46020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46020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46020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46020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46020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46020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46020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46020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46020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46020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1592-2024</t>
        </is>
      </c>
      <c r="B32" s="1" t="n">
        <v>45306.58594907408</v>
      </c>
      <c r="C32" s="1" t="n">
        <v>46020</v>
      </c>
      <c r="D32" t="inlineStr">
        <is>
          <t>SKÅNE LÄN</t>
        </is>
      </c>
      <c r="E32" t="inlineStr">
        <is>
          <t>SVALÖV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34808-2024</t>
        </is>
      </c>
      <c r="B33" s="1" t="n">
        <v>45526.69388888889</v>
      </c>
      <c r="C33" s="1" t="n">
        <v>46020</v>
      </c>
      <c r="D33" t="inlineStr">
        <is>
          <t>SKÅNE LÄN</t>
        </is>
      </c>
      <c r="E33" t="inlineStr">
        <is>
          <t>SVALÖV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46020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23747-2025</t>
        </is>
      </c>
      <c r="B35" s="1" t="n">
        <v>45793.44744212963</v>
      </c>
      <c r="C35" s="1" t="n">
        <v>46020</v>
      </c>
      <c r="D35" t="inlineStr">
        <is>
          <t>SKÅNE LÄN</t>
        </is>
      </c>
      <c r="E35" t="inlineStr">
        <is>
          <t>SVALÖV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24513-2025</t>
        </is>
      </c>
      <c r="B36" s="1" t="n">
        <v>45798.40712962963</v>
      </c>
      <c r="C36" s="1" t="n">
        <v>46020</v>
      </c>
      <c r="D36" t="inlineStr">
        <is>
          <t>SKÅNE LÄN</t>
        </is>
      </c>
      <c r="E36" t="inlineStr">
        <is>
          <t>SVALÖV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10209-2023</t>
        </is>
      </c>
      <c r="B37" s="1" t="n">
        <v>44986</v>
      </c>
      <c r="C37" s="1" t="n">
        <v>46020</v>
      </c>
      <c r="D37" t="inlineStr">
        <is>
          <t>SKÅNE LÄN</t>
        </is>
      </c>
      <c r="E37" t="inlineStr">
        <is>
          <t>SVALÖV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27310-2023</t>
        </is>
      </c>
      <c r="B38" s="1" t="n">
        <v>45096.65549768518</v>
      </c>
      <c r="C38" s="1" t="n">
        <v>46020</v>
      </c>
      <c r="D38" t="inlineStr">
        <is>
          <t>SKÅNE LÄN</t>
        </is>
      </c>
      <c r="E38" t="inlineStr">
        <is>
          <t>SVALÖV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26949-2025</t>
        </is>
      </c>
      <c r="B39" s="1" t="n">
        <v>45811.43701388889</v>
      </c>
      <c r="C39" s="1" t="n">
        <v>46020</v>
      </c>
      <c r="D39" t="inlineStr">
        <is>
          <t>SKÅNE LÄN</t>
        </is>
      </c>
      <c r="E39" t="inlineStr">
        <is>
          <t>SVALÖV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22262-2023</t>
        </is>
      </c>
      <c r="B40" s="1" t="n">
        <v>45070</v>
      </c>
      <c r="C40" s="1" t="n">
        <v>46020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46020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46020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46020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43425-2025</t>
        </is>
      </c>
      <c r="B44" s="1" t="n">
        <v>45911.4182175926</v>
      </c>
      <c r="C44" s="1" t="n">
        <v>46020</v>
      </c>
      <c r="D44" t="inlineStr">
        <is>
          <t>SKÅNE LÄN</t>
        </is>
      </c>
      <c r="E44" t="inlineStr">
        <is>
          <t>SVALÖV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46020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46020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22063-2025</t>
        </is>
      </c>
      <c r="B47" s="1" t="n">
        <v>45785.37700231482</v>
      </c>
      <c r="C47" s="1" t="n">
        <v>46020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46020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46020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46020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46020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17980-2025</t>
        </is>
      </c>
      <c r="B52" s="1" t="n">
        <v>45761.36854166666</v>
      </c>
      <c r="C52" s="1" t="n">
        <v>46020</v>
      </c>
      <c r="D52" t="inlineStr">
        <is>
          <t>SKÅNE LÄN</t>
        </is>
      </c>
      <c r="E52" t="inlineStr">
        <is>
          <t>SVALÖV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46020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11922-2023</t>
        </is>
      </c>
      <c r="B54" s="1" t="n">
        <v>44993</v>
      </c>
      <c r="C54" s="1" t="n">
        <v>46020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46020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46020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59266-2025</t>
        </is>
      </c>
      <c r="B57" s="1" t="n">
        <v>45988</v>
      </c>
      <c r="C57" s="1" t="n">
        <v>46020</v>
      </c>
      <c r="D57" t="inlineStr">
        <is>
          <t>SKÅNE LÄN</t>
        </is>
      </c>
      <c r="E57" t="inlineStr">
        <is>
          <t>SVALÖV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37907-2025</t>
        </is>
      </c>
      <c r="B58" s="1" t="n">
        <v>45880</v>
      </c>
      <c r="C58" s="1" t="n">
        <v>46020</v>
      </c>
      <c r="D58" t="inlineStr">
        <is>
          <t>SKÅNE LÄN</t>
        </is>
      </c>
      <c r="E58" t="inlineStr">
        <is>
          <t>SVALÖV</t>
        </is>
      </c>
      <c r="F58" t="inlineStr">
        <is>
          <t>Kyrkan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40470-2025</t>
        </is>
      </c>
      <c r="B59" s="1" t="n">
        <v>45895</v>
      </c>
      <c r="C59" s="1" t="n">
        <v>46020</v>
      </c>
      <c r="D59" t="inlineStr">
        <is>
          <t>SKÅNE LÄN</t>
        </is>
      </c>
      <c r="E59" t="inlineStr">
        <is>
          <t>SVALÖV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59230-2025</t>
        </is>
      </c>
      <c r="B60" s="1" t="n">
        <v>45988.62502314815</v>
      </c>
      <c r="C60" s="1" t="n">
        <v>46020</v>
      </c>
      <c r="D60" t="inlineStr">
        <is>
          <t>SKÅNE LÄN</t>
        </is>
      </c>
      <c r="E60" t="inlineStr">
        <is>
          <t>SVALÖV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58970-2025</t>
        </is>
      </c>
      <c r="B61" s="1" t="n">
        <v>45987.61269675926</v>
      </c>
      <c r="C61" s="1" t="n">
        <v>46020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38394-2025</t>
        </is>
      </c>
      <c r="B62" s="1" t="n">
        <v>45883</v>
      </c>
      <c r="C62" s="1" t="n">
        <v>46020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35587-2024</t>
        </is>
      </c>
      <c r="B63" s="1" t="n">
        <v>45531</v>
      </c>
      <c r="C63" s="1" t="n">
        <v>46020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8924-2023</t>
        </is>
      </c>
      <c r="B64" s="1" t="n">
        <v>44974</v>
      </c>
      <c r="C64" s="1" t="n">
        <v>46020</v>
      </c>
      <c r="D64" t="inlineStr">
        <is>
          <t>SKÅNE LÄN</t>
        </is>
      </c>
      <c r="E64" t="inlineStr">
        <is>
          <t>SVALÖV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1901-2025</t>
        </is>
      </c>
      <c r="B65" s="1" t="n">
        <v>45671</v>
      </c>
      <c r="C65" s="1" t="n">
        <v>46020</v>
      </c>
      <c r="D65" t="inlineStr">
        <is>
          <t>SKÅNE LÄN</t>
        </is>
      </c>
      <c r="E65" t="inlineStr">
        <is>
          <t>SVALÖV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22794-2024</t>
        </is>
      </c>
      <c r="B66" s="1" t="n">
        <v>45448.49752314815</v>
      </c>
      <c r="C66" s="1" t="n">
        <v>46020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32620-2023</t>
        </is>
      </c>
      <c r="B67" s="1" t="n">
        <v>45111</v>
      </c>
      <c r="C67" s="1" t="n">
        <v>46020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44196-2024</t>
        </is>
      </c>
      <c r="B68" s="1" t="n">
        <v>45573.31803240741</v>
      </c>
      <c r="C68" s="1" t="n">
        <v>46020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46020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62201-2025</t>
        </is>
      </c>
      <c r="B70" s="1" t="n">
        <v>46006.55501157408</v>
      </c>
      <c r="C70" s="1" t="n">
        <v>46020</v>
      </c>
      <c r="D70" t="inlineStr">
        <is>
          <t>SKÅNE LÄN</t>
        </is>
      </c>
      <c r="E70" t="inlineStr">
        <is>
          <t>SVALÖV</t>
        </is>
      </c>
      <c r="G70" t="n">
        <v>22.1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14543-2024</t>
        </is>
      </c>
      <c r="B71" s="1" t="n">
        <v>45394</v>
      </c>
      <c r="C71" s="1" t="n">
        <v>46020</v>
      </c>
      <c r="D71" t="inlineStr">
        <is>
          <t>SKÅNE LÄN</t>
        </is>
      </c>
      <c r="E71" t="inlineStr">
        <is>
          <t>SVALÖV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43294-2025</t>
        </is>
      </c>
      <c r="B72" s="1" t="n">
        <v>45910</v>
      </c>
      <c r="C72" s="1" t="n">
        <v>46020</v>
      </c>
      <c r="D72" t="inlineStr">
        <is>
          <t>SKÅNE LÄN</t>
        </is>
      </c>
      <c r="E72" t="inlineStr">
        <is>
          <t>SVALÖV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43466-2025</t>
        </is>
      </c>
      <c r="B73" s="1" t="n">
        <v>45911</v>
      </c>
      <c r="C73" s="1" t="n">
        <v>46020</v>
      </c>
      <c r="D73" t="inlineStr">
        <is>
          <t>SKÅNE LÄN</t>
        </is>
      </c>
      <c r="E73" t="inlineStr">
        <is>
          <t>SVALÖV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13273-2024</t>
        </is>
      </c>
      <c r="B74" s="1" t="n">
        <v>45386</v>
      </c>
      <c r="C74" s="1" t="n">
        <v>46020</v>
      </c>
      <c r="D74" t="inlineStr">
        <is>
          <t>SKÅNE LÄN</t>
        </is>
      </c>
      <c r="E74" t="inlineStr">
        <is>
          <t>SVALÖV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43326-2025</t>
        </is>
      </c>
      <c r="B75" s="1" t="n">
        <v>45910</v>
      </c>
      <c r="C75" s="1" t="n">
        <v>46020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43004-2025</t>
        </is>
      </c>
      <c r="B76" s="1" t="n">
        <v>45909</v>
      </c>
      <c r="C76" s="1" t="n">
        <v>46020</v>
      </c>
      <c r="D76" t="inlineStr">
        <is>
          <t>SKÅNE LÄN</t>
        </is>
      </c>
      <c r="E76" t="inlineStr">
        <is>
          <t>SVALÖV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22792-2024</t>
        </is>
      </c>
      <c r="B77" s="1" t="n">
        <v>45448.48983796296</v>
      </c>
      <c r="C77" s="1" t="n">
        <v>46020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14546-2024</t>
        </is>
      </c>
      <c r="B78" s="1" t="n">
        <v>45394</v>
      </c>
      <c r="C78" s="1" t="n">
        <v>46020</v>
      </c>
      <c r="D78" t="inlineStr">
        <is>
          <t>SKÅNE LÄN</t>
        </is>
      </c>
      <c r="E78" t="inlineStr">
        <is>
          <t>SVALÖV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46020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18121-2025</t>
        </is>
      </c>
      <c r="B80" s="1" t="n">
        <v>45761</v>
      </c>
      <c r="C80" s="1" t="n">
        <v>46020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16215-2022</t>
        </is>
      </c>
      <c r="B81" s="1" t="n">
        <v>44670</v>
      </c>
      <c r="C81" s="1" t="n">
        <v>46020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47696-2024</t>
        </is>
      </c>
      <c r="B82" s="1" t="n">
        <v>45588.45855324074</v>
      </c>
      <c r="C82" s="1" t="n">
        <v>46020</v>
      </c>
      <c r="D82" t="inlineStr">
        <is>
          <t>SKÅNE LÄN</t>
        </is>
      </c>
      <c r="E82" t="inlineStr">
        <is>
          <t>SVALÖV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46020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46020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46020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46020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46020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20170-2024</t>
        </is>
      </c>
      <c r="B88" s="1" t="n">
        <v>45434</v>
      </c>
      <c r="C88" s="1" t="n">
        <v>46020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46020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46020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46020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46020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46020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48279-2021</t>
        </is>
      </c>
      <c r="B94" s="1" t="n">
        <v>44449</v>
      </c>
      <c r="C94" s="1" t="n">
        <v>46020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21774-2024</t>
        </is>
      </c>
      <c r="B95" s="1" t="n">
        <v>45442</v>
      </c>
      <c r="C95" s="1" t="n">
        <v>46020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46020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43736-2023</t>
        </is>
      </c>
      <c r="B97" s="1" t="n">
        <v>45182</v>
      </c>
      <c r="C97" s="1" t="n">
        <v>46020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42588-2023</t>
        </is>
      </c>
      <c r="B98" s="1" t="n">
        <v>45176</v>
      </c>
      <c r="C98" s="1" t="n">
        <v>46020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15157-2023</t>
        </is>
      </c>
      <c r="B99" s="1" t="n">
        <v>45016</v>
      </c>
      <c r="C99" s="1" t="n">
        <v>46020</v>
      </c>
      <c r="D99" t="inlineStr">
        <is>
          <t>SKÅNE LÄN</t>
        </is>
      </c>
      <c r="E99" t="inlineStr">
        <is>
          <t>SVALÖV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46020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46020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46020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46020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45188.43670138889</v>
      </c>
      <c r="C104" s="1" t="n">
        <v>46020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46020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46020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48262-2021</t>
        </is>
      </c>
      <c r="B107" s="1" t="n">
        <v>44449.66324074074</v>
      </c>
      <c r="C107" s="1" t="n">
        <v>46020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13245-2024</t>
        </is>
      </c>
      <c r="B108" s="1" t="n">
        <v>45386</v>
      </c>
      <c r="C108" s="1" t="n">
        <v>46020</v>
      </c>
      <c r="D108" t="inlineStr">
        <is>
          <t>SKÅNE LÄN</t>
        </is>
      </c>
      <c r="E108" t="inlineStr">
        <is>
          <t>SVALÖV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21814-2025</t>
        </is>
      </c>
      <c r="B109" s="1" t="n">
        <v>45783.72201388889</v>
      </c>
      <c r="C109" s="1" t="n">
        <v>46020</v>
      </c>
      <c r="D109" t="inlineStr">
        <is>
          <t>SKÅNE LÄN</t>
        </is>
      </c>
      <c r="E109" t="inlineStr">
        <is>
          <t>SVALÖV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46020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45782.66538194445</v>
      </c>
      <c r="C111" s="1" t="n">
        <v>46020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46020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22203-2025</t>
        </is>
      </c>
      <c r="B113" s="1" t="n">
        <v>45785.65381944444</v>
      </c>
      <c r="C113" s="1" t="n">
        <v>46020</v>
      </c>
      <c r="D113" t="inlineStr">
        <is>
          <t>SKÅNE LÄN</t>
        </is>
      </c>
      <c r="E113" t="inlineStr">
        <is>
          <t>SVALÖV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20047-2024</t>
        </is>
      </c>
      <c r="B114" s="1" t="n">
        <v>45434.37376157408</v>
      </c>
      <c r="C114" s="1" t="n">
        <v>46020</v>
      </c>
      <c r="D114" t="inlineStr">
        <is>
          <t>SKÅNE LÄN</t>
        </is>
      </c>
      <c r="E114" t="inlineStr">
        <is>
          <t>SVALÖV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2025-12-29T09:29:39Z</dcterms:created>
  <dcterms:modified xmlns:dcterms="http://purl.org/dc/terms/" xmlns:xsi="http://www.w3.org/2001/XMLSchema-instance" xsi:type="dcterms:W3CDTF">2025-12-29T09:29:39Z</dcterms:modified>
</cp:coreProperties>
</file>