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46297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46297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46297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46297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46297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46297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46297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46297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46297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Korndådra</t>
        </is>
      </c>
      <c r="W14">
        <f>HYPERLINK("https://klasma.github.io/Logging_1214/artfynd/A 11170-2023 artfynd.xlsx", "A 11170-2023")</f>
        <v/>
      </c>
      <c r="X14">
        <f>HYPERLINK("https://klasma.github.io/Logging_1214/kartor/A 11170-2023 karta.png", "A 11170-2023")</f>
        <v/>
      </c>
      <c r="Y14">
        <f>HYPERLINK("https://klasma.github.io/Logging_1214/kartor_geotiff/A 11170-2023 georefererad karta.tif", "A 11170-2023")</f>
        <v/>
      </c>
      <c r="AA14">
        <f>HYPERLINK("https://klasma.github.io/Logging_1214/klagomål/A 11170-2023 FSC-klagomål.docx", "A 11170-2023")</f>
        <v/>
      </c>
      <c r="AB14">
        <f>HYPERLINK("https://klasma.github.io/Logging_1214/klagomålsmail/A 11170-2023 FSC-klagomål mail.docx", "A 11170-2023")</f>
        <v/>
      </c>
      <c r="AC14">
        <f>HYPERLINK("https://klasma.github.io/Logging_1214/tillsyn/A 11170-2023 tillsynsbegäran.docx", "A 11170-2023")</f>
        <v/>
      </c>
      <c r="AD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46297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46297</v>
      </c>
      <c r="F24" t="inlineStr">
        <is>
          <t>SKÅNE LÄN</t>
        </is>
      </c>
      <c r="G24" t="inlineStr">
        <is>
          <t>SVALÖV</t>
        </is>
      </c>
      <c r="I24" t="n">
        <v>6.5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45442</v>
      </c>
      <c r="E25" s="1" t="n">
        <v>46297</v>
      </c>
      <c r="F25" t="inlineStr">
        <is>
          <t>SKÅNE LÄN</t>
        </is>
      </c>
      <c r="G25" t="inlineStr">
        <is>
          <t>SVALÖV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45793</v>
      </c>
      <c r="E26" s="1" t="n">
        <v>46297</v>
      </c>
      <c r="F26" t="inlineStr">
        <is>
          <t>SKÅNE LÄN</t>
        </is>
      </c>
      <c r="G26" t="inlineStr">
        <is>
          <t>SVALÖV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46297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46297</v>
      </c>
      <c r="F28" t="inlineStr">
        <is>
          <t>SKÅNE LÄN</t>
        </is>
      </c>
      <c r="G28" t="inlineStr">
        <is>
          <t>SVALÖV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35587-2024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45531</v>
      </c>
      <c r="E29" s="1" t="n">
        <v>46297</v>
      </c>
      <c r="F29" t="inlineStr">
        <is>
          <t>SKÅNE LÄN</t>
        </is>
      </c>
      <c r="G29" t="inlineStr">
        <is>
          <t>SVALÖV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46297</v>
      </c>
      <c r="F30" t="inlineStr">
        <is>
          <t>SKÅNE LÄN</t>
        </is>
      </c>
      <c r="G30" t="inlineStr">
        <is>
          <t>SVALÖV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46297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24513-2025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45798</v>
      </c>
      <c r="E32" s="1" t="n">
        <v>46297</v>
      </c>
      <c r="F32" t="inlineStr">
        <is>
          <t>SKÅNE LÄN</t>
        </is>
      </c>
      <c r="G32" t="inlineStr">
        <is>
          <t>SVALÖV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46297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46297</v>
      </c>
      <c r="F34" t="inlineStr">
        <is>
          <t>SKÅNE LÄN</t>
        </is>
      </c>
      <c r="G34" t="inlineStr">
        <is>
          <t>SVALÖV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27310-2023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46297</v>
      </c>
      <c r="F35" t="inlineStr">
        <is>
          <t>SKÅNE LÄN</t>
        </is>
      </c>
      <c r="G35" t="inlineStr">
        <is>
          <t>SVALÖV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47139-2025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46297</v>
      </c>
      <c r="F36" t="inlineStr">
        <is>
          <t>SKÅNE LÄN</t>
        </is>
      </c>
      <c r="G36" t="inlineStr">
        <is>
          <t>SVALÖV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46297</v>
      </c>
      <c r="F37" t="inlineStr">
        <is>
          <t>SKÅNE LÄN</t>
        </is>
      </c>
      <c r="G37" t="inlineStr">
        <is>
          <t>SVALÖV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46297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46297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46297</v>
      </c>
      <c r="F40" t="inlineStr">
        <is>
          <t>SKÅNE LÄN</t>
        </is>
      </c>
      <c r="G40" t="inlineStr">
        <is>
          <t>SVALÖV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46297</v>
      </c>
      <c r="F41" t="inlineStr">
        <is>
          <t>SKÅNE LÄN</t>
        </is>
      </c>
      <c r="G41" t="inlineStr">
        <is>
          <t>SVALÖV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46297</v>
      </c>
      <c r="F42" t="inlineStr">
        <is>
          <t>SKÅNE LÄN</t>
        </is>
      </c>
      <c r="G42" t="inlineStr">
        <is>
          <t>SVALÖV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46042</v>
      </c>
      <c r="E43" s="1" t="n">
        <v>46297</v>
      </c>
      <c r="F43" t="inlineStr">
        <is>
          <t>SKÅNE LÄN</t>
        </is>
      </c>
      <c r="G43" t="inlineStr">
        <is>
          <t>SVALÖV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46297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46297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46297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46297</v>
      </c>
      <c r="F47" t="inlineStr">
        <is>
          <t>SKÅNE LÄN</t>
        </is>
      </c>
      <c r="G47" t="inlineStr">
        <is>
          <t>SVALÖV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44991</v>
      </c>
      <c r="E48" s="1" t="n">
        <v>46297</v>
      </c>
      <c r="F48" t="inlineStr">
        <is>
          <t>SKÅNE LÄN</t>
        </is>
      </c>
      <c r="G48" t="inlineStr">
        <is>
          <t>SVALÖV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45141</v>
      </c>
      <c r="E49" s="1" t="n">
        <v>46297</v>
      </c>
      <c r="F49" t="inlineStr">
        <is>
          <t>SKÅNE LÄN</t>
        </is>
      </c>
      <c r="G49" t="inlineStr">
        <is>
          <t>SVALÖV</t>
        </is>
      </c>
      <c r="I49" t="n">
        <v>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46297</v>
      </c>
      <c r="F50" t="inlineStr">
        <is>
          <t>SKÅNE LÄN</t>
        </is>
      </c>
      <c r="G50" t="inlineStr">
        <is>
          <t>SVALÖV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46297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46297</v>
      </c>
      <c r="F52" t="inlineStr">
        <is>
          <t>SKÅNE LÄN</t>
        </is>
      </c>
      <c r="G52" t="inlineStr">
        <is>
          <t>SVALÖV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46297</v>
      </c>
      <c r="F53" t="inlineStr">
        <is>
          <t>SKÅNE LÄN</t>
        </is>
      </c>
      <c r="G53" t="inlineStr">
        <is>
          <t>SVALÖV</t>
        </is>
      </c>
      <c r="I53" t="n">
        <v>22.1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46297</v>
      </c>
      <c r="F54" t="inlineStr">
        <is>
          <t>SKÅNE LÄN</t>
        </is>
      </c>
      <c r="G54" t="inlineStr">
        <is>
          <t>SVALÖV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46297</v>
      </c>
      <c r="F55" t="inlineStr">
        <is>
          <t>SKÅNE LÄN</t>
        </is>
      </c>
      <c r="G55" t="inlineStr">
        <is>
          <t>SVALÖV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46297</v>
      </c>
      <c r="F56" t="inlineStr">
        <is>
          <t>SKÅNE LÄN</t>
        </is>
      </c>
      <c r="G56" t="inlineStr">
        <is>
          <t>SVALÖV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19282-2025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45769</v>
      </c>
      <c r="E57" s="1" t="n">
        <v>46297</v>
      </c>
      <c r="F57" t="inlineStr">
        <is>
          <t>SKÅNE LÄN</t>
        </is>
      </c>
      <c r="G57" t="inlineStr">
        <is>
          <t>SVALÖV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45070</v>
      </c>
      <c r="E58" s="1" t="n">
        <v>46297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45880</v>
      </c>
      <c r="E59" s="1" t="n">
        <v>46297</v>
      </c>
      <c r="F59" t="inlineStr">
        <is>
          <t>SKÅNE LÄN</t>
        </is>
      </c>
      <c r="G59" t="inlineStr">
        <is>
          <t>SVALÖV</t>
        </is>
      </c>
      <c r="H59" t="inlineStr">
        <is>
          <t>Kyrkan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40470-2025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45895</v>
      </c>
      <c r="E60" s="1" t="n">
        <v>46297</v>
      </c>
      <c r="F60" t="inlineStr">
        <is>
          <t>SKÅNE LÄN</t>
        </is>
      </c>
      <c r="G60" t="inlineStr">
        <is>
          <t>SVALÖV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46297</v>
      </c>
      <c r="F61" t="inlineStr">
        <is>
          <t>SKÅNE LÄN</t>
        </is>
      </c>
      <c r="G61" t="inlineStr">
        <is>
          <t>SVALÖV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46297</v>
      </c>
      <c r="F62" t="inlineStr">
        <is>
          <t>SKÅNE LÄN</t>
        </is>
      </c>
      <c r="G62" t="inlineStr">
        <is>
          <t>SVALÖV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46127</v>
      </c>
      <c r="E63" s="1" t="n">
        <v>46297</v>
      </c>
      <c r="F63" t="inlineStr">
        <is>
          <t>SKÅNE LÄN</t>
        </is>
      </c>
      <c r="G63" t="inlineStr">
        <is>
          <t>SVALÖV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46297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46297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46297</v>
      </c>
      <c r="F66" t="inlineStr">
        <is>
          <t>SKÅNE LÄN</t>
        </is>
      </c>
      <c r="G66" t="inlineStr">
        <is>
          <t>SVALÖV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46297</v>
      </c>
      <c r="F67" t="inlineStr">
        <is>
          <t>SKÅNE LÄN</t>
        </is>
      </c>
      <c r="G67" t="inlineStr">
        <is>
          <t>SVALÖV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46297</v>
      </c>
      <c r="F68" t="inlineStr">
        <is>
          <t>SKÅNE LÄN</t>
        </is>
      </c>
      <c r="G68" t="inlineStr">
        <is>
          <t>SVALÖV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46297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35911-2023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46297</v>
      </c>
      <c r="F70" t="inlineStr">
        <is>
          <t>SKÅNE LÄN</t>
        </is>
      </c>
      <c r="G70" t="inlineStr">
        <is>
          <t>SVALÖV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46297</v>
      </c>
      <c r="F71" t="inlineStr">
        <is>
          <t>SKÅNE LÄN</t>
        </is>
      </c>
      <c r="G71" t="inlineStr">
        <is>
          <t>SVALÖV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45671</v>
      </c>
      <c r="E72" s="1" t="n">
        <v>46297</v>
      </c>
      <c r="F72" t="inlineStr">
        <is>
          <t>SKÅNE LÄN</t>
        </is>
      </c>
      <c r="G72" t="inlineStr">
        <is>
          <t>SVALÖV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46297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45182</v>
      </c>
      <c r="E74" s="1" t="n">
        <v>46297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46297</v>
      </c>
      <c r="F75" t="inlineStr">
        <is>
          <t>SKÅNE LÄN</t>
        </is>
      </c>
      <c r="G75" t="inlineStr">
        <is>
          <t>SVALÖV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46297</v>
      </c>
      <c r="F76" t="inlineStr">
        <is>
          <t>SKÅNE LÄN</t>
        </is>
      </c>
      <c r="G76" t="inlineStr">
        <is>
          <t>SVALÖV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46297</v>
      </c>
      <c r="F77" t="inlineStr">
        <is>
          <t>SKÅNE LÄN</t>
        </is>
      </c>
      <c r="G77" t="inlineStr">
        <is>
          <t>SVALÖV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46210</v>
      </c>
      <c r="E78" s="1" t="n">
        <v>46297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46297</v>
      </c>
      <c r="F79" t="inlineStr">
        <is>
          <t>SKÅNE LÄN</t>
        </is>
      </c>
      <c r="G79" t="inlineStr">
        <is>
          <t>SVALÖV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46297</v>
      </c>
      <c r="F80" t="inlineStr">
        <is>
          <t>SKÅNE LÄN</t>
        </is>
      </c>
      <c r="G80" t="inlineStr">
        <is>
          <t>SVALÖV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46297</v>
      </c>
      <c r="F81" t="inlineStr">
        <is>
          <t>SKÅNE LÄN</t>
        </is>
      </c>
      <c r="G81" t="inlineStr">
        <is>
          <t>SVALÖV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17731-2025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45758</v>
      </c>
      <c r="E82" s="1" t="n">
        <v>46297</v>
      </c>
      <c r="F82" t="inlineStr">
        <is>
          <t>SKÅNE LÄN</t>
        </is>
      </c>
      <c r="G82" t="inlineStr">
        <is>
          <t>SVALÖV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46297</v>
      </c>
      <c r="F83" t="inlineStr">
        <is>
          <t>SKÅNE LÄN</t>
        </is>
      </c>
      <c r="G83" t="inlineStr">
        <is>
          <t>SVALÖV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46297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46297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46297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44670</v>
      </c>
      <c r="E87" s="1" t="n">
        <v>46297</v>
      </c>
      <c r="F87" t="inlineStr">
        <is>
          <t>SKÅNE LÄN</t>
        </is>
      </c>
      <c r="G87" t="inlineStr">
        <is>
          <t>SVALÖV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46297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46297</v>
      </c>
      <c r="F89" t="inlineStr">
        <is>
          <t>SKÅNE LÄN</t>
        </is>
      </c>
      <c r="G89" t="inlineStr">
        <is>
          <t>SVALÖV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27380-2026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46297</v>
      </c>
      <c r="F90" t="inlineStr">
        <is>
          <t>SKÅNE LÄN</t>
        </is>
      </c>
      <c r="G90" t="inlineStr">
        <is>
          <t>SVALÖV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46297</v>
      </c>
      <c r="F91" t="inlineStr">
        <is>
          <t>SKÅNE LÄN</t>
        </is>
      </c>
      <c r="G91" t="inlineStr">
        <is>
          <t>SVALÖV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46297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46297</v>
      </c>
      <c r="F93" t="inlineStr">
        <is>
          <t>SKÅNE LÄN</t>
        </is>
      </c>
      <c r="G93" t="inlineStr">
        <is>
          <t>SVALÖV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46297</v>
      </c>
      <c r="F94" t="inlineStr">
        <is>
          <t>SKÅNE LÄN</t>
        </is>
      </c>
      <c r="G94" t="inlineStr">
        <is>
          <t>SVALÖV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46297</v>
      </c>
      <c r="F95" t="inlineStr">
        <is>
          <t>SKÅNE LÄN</t>
        </is>
      </c>
      <c r="G95" t="inlineStr">
        <is>
          <t>SVALÖV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45111</v>
      </c>
      <c r="E96" s="1" t="n">
        <v>46297</v>
      </c>
      <c r="F96" t="inlineStr">
        <is>
          <t>SKÅNE LÄN</t>
        </is>
      </c>
      <c r="G96" t="inlineStr">
        <is>
          <t>SVALÖV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46297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44588</v>
      </c>
      <c r="E98" s="1" t="n">
        <v>46297</v>
      </c>
      <c r="F98" t="inlineStr">
        <is>
          <t>SKÅNE LÄN</t>
        </is>
      </c>
      <c r="G98" t="inlineStr">
        <is>
          <t>SVALÖV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46297</v>
      </c>
      <c r="F99" t="inlineStr">
        <is>
          <t>SKÅNE LÄN</t>
        </is>
      </c>
      <c r="G99" t="inlineStr">
        <is>
          <t>SVALÖV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46297</v>
      </c>
      <c r="F100" t="inlineStr">
        <is>
          <t>SKÅNE LÄN</t>
        </is>
      </c>
      <c r="G100" t="inlineStr">
        <is>
          <t>SVALÖV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46297</v>
      </c>
      <c r="F101" t="inlineStr">
        <is>
          <t>SKÅNE LÄN</t>
        </is>
      </c>
      <c r="G101" t="inlineStr">
        <is>
          <t>SVALÖV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46297</v>
      </c>
      <c r="F102" t="inlineStr">
        <is>
          <t>SKÅNE LÄN</t>
        </is>
      </c>
      <c r="G102" t="inlineStr">
        <is>
          <t>SVALÖV</t>
        </is>
      </c>
      <c r="I102" t="n">
        <v>12.4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44196-2024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45573</v>
      </c>
      <c r="E103" s="1" t="n">
        <v>46297</v>
      </c>
      <c r="F103" t="inlineStr">
        <is>
          <t>SKÅNE LÄN</t>
        </is>
      </c>
      <c r="G103" t="inlineStr">
        <is>
          <t>SVALÖV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46297</v>
      </c>
      <c r="F104" t="inlineStr">
        <is>
          <t>SKÅNE LÄN</t>
        </is>
      </c>
      <c r="G104" t="inlineStr">
        <is>
          <t>SVALÖV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46297</v>
      </c>
      <c r="F105" t="inlineStr">
        <is>
          <t>SKÅNE LÄN</t>
        </is>
      </c>
      <c r="G105" t="inlineStr">
        <is>
          <t>SVALÖV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45783</v>
      </c>
      <c r="E106" s="1" t="n">
        <v>46297</v>
      </c>
      <c r="F106" t="inlineStr">
        <is>
          <t>SKÅNE LÄN</t>
        </is>
      </c>
      <c r="G106" t="inlineStr">
        <is>
          <t>SVALÖV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46297</v>
      </c>
      <c r="F107" t="inlineStr">
        <is>
          <t>SKÅNE LÄN</t>
        </is>
      </c>
      <c r="G107" t="inlineStr">
        <is>
          <t>SVALÖV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46297</v>
      </c>
      <c r="F108" t="inlineStr">
        <is>
          <t>SKÅNE LÄN</t>
        </is>
      </c>
      <c r="G108" t="inlineStr">
        <is>
          <t>SVALÖV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46297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