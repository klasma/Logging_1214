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46220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s="2" t="inlineStr">
        <is>
          <t>Entita
Gulsparv
Mindre hackspett
Spillkråka</t>
        </is>
      </c>
      <c r="V2">
        <f>HYPERLINK("https://klasma.github.io/Logging_1214/artfynd/A 43326-2025 artfynd.xlsx", "A 43326-2025")</f>
        <v/>
      </c>
      <c r="W2">
        <f>HYPERLINK("https://klasma.github.io/Logging_1214/kartor/A 43326-2025 karta.png", "A 43326-2025")</f>
        <v/>
      </c>
      <c r="Y2">
        <f>HYPERLINK("https://klasma.github.io/Logging_1214/klagomål/A 43326-2025 FSC-klagomål.docx", "A 43326-2025")</f>
        <v/>
      </c>
      <c r="Z2">
        <f>HYPERLINK("https://klasma.github.io/Logging_1214/klagomålsmail/A 43326-2025 FSC-klagomål mail.docx", "A 43326-2025")</f>
        <v/>
      </c>
      <c r="AA2">
        <f>HYPERLINK("https://klasma.github.io/Logging_1214/tillsyn/A 43326-2025 tillsynsbegäran.docx", "A 43326-2025")</f>
        <v/>
      </c>
      <c r="AB2">
        <f>HYPERLINK("https://klasma.github.io/Logging_1214/tillsynsmail/A 43326-2025 tillsynsbegäran mail.docx", "A 43326-2025")</f>
        <v/>
      </c>
      <c r="AC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46220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s="2" t="inlineStr">
        <is>
          <t>Ask
Skogsalm
Getingrovfluga</t>
        </is>
      </c>
      <c r="V3">
        <f>HYPERLINK("https://klasma.github.io/Logging_1214/artfynd/A 39165-2024 artfynd.xlsx", "A 39165-2024")</f>
        <v/>
      </c>
      <c r="W3">
        <f>HYPERLINK("https://klasma.github.io/Logging_1214/kartor/A 39165-2024 karta.png", "A 39165-2024")</f>
        <v/>
      </c>
      <c r="Y3">
        <f>HYPERLINK("https://klasma.github.io/Logging_1214/klagomål/A 39165-2024 FSC-klagomål.docx", "A 39165-2024")</f>
        <v/>
      </c>
      <c r="Z3">
        <f>HYPERLINK("https://klasma.github.io/Logging_1214/klagomålsmail/A 39165-2024 FSC-klagomål mail.docx", "A 39165-2024")</f>
        <v/>
      </c>
      <c r="AA3">
        <f>HYPERLINK("https://klasma.github.io/Logging_1214/tillsyn/A 39165-2024 tillsynsbegäran.docx", "A 39165-2024")</f>
        <v/>
      </c>
      <c r="AB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46220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Skogsknipprot
Stor häxört</t>
        </is>
      </c>
      <c r="V4">
        <f>HYPERLINK("https://klasma.github.io/Logging_1214/artfynd/A 38522-2025 artfynd.xlsx", "A 38522-2025")</f>
        <v/>
      </c>
      <c r="W4">
        <f>HYPERLINK("https://klasma.github.io/Logging_1214/kartor/A 38522-2025 karta.png", "A 38522-2025")</f>
        <v/>
      </c>
      <c r="Y4">
        <f>HYPERLINK("https://klasma.github.io/Logging_1214/klagomål/A 38522-2025 FSC-klagomål.docx", "A 38522-2025")</f>
        <v/>
      </c>
      <c r="Z4">
        <f>HYPERLINK("https://klasma.github.io/Logging_1214/klagomålsmail/A 38522-2025 FSC-klagomål mail.docx", "A 38522-2025")</f>
        <v/>
      </c>
      <c r="AA4">
        <f>HYPERLINK("https://klasma.github.io/Logging_1214/tillsyn/A 38522-2025 tillsynsbegäran.docx", "A 38522-2025")</f>
        <v/>
      </c>
      <c r="AB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46220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s="2" t="inlineStr">
        <is>
          <t>Ask
Strutbräken</t>
        </is>
      </c>
      <c r="V5">
        <f>HYPERLINK("https://klasma.github.io/Logging_1214/artfynd/A 15475-2024 artfynd.xlsx", "A 15475-2024")</f>
        <v/>
      </c>
      <c r="W5">
        <f>HYPERLINK("https://klasma.github.io/Logging_1214/kartor/A 15475-2024 karta.png", "A 15475-2024")</f>
        <v/>
      </c>
      <c r="Y5">
        <f>HYPERLINK("https://klasma.github.io/Logging_1214/klagomål/A 15475-2024 FSC-klagomål.docx", "A 15475-2024")</f>
        <v/>
      </c>
      <c r="Z5">
        <f>HYPERLINK("https://klasma.github.io/Logging_1214/klagomålsmail/A 15475-2024 FSC-klagomål mail.docx", "A 15475-2024")</f>
        <v/>
      </c>
      <c r="AA5">
        <f>HYPERLINK("https://klasma.github.io/Logging_1214/tillsyn/A 15475-2024 tillsynsbegäran.docx", "A 15475-2024")</f>
        <v/>
      </c>
      <c r="AB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46220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s="2" t="inlineStr">
        <is>
          <t>Ask
Skogsknipprot</t>
        </is>
      </c>
      <c r="V6">
        <f>HYPERLINK("https://klasma.github.io/Logging_1214/artfynd/A 61064-2024 artfynd.xlsx", "A 61064-2024")</f>
        <v/>
      </c>
      <c r="W6">
        <f>HYPERLINK("https://klasma.github.io/Logging_1214/kartor/A 61064-2024 karta.png", "A 61064-2024")</f>
        <v/>
      </c>
      <c r="Y6">
        <f>HYPERLINK("https://klasma.github.io/Logging_1214/klagomål/A 61064-2024 FSC-klagomål.docx", "A 61064-2024")</f>
        <v/>
      </c>
      <c r="Z6">
        <f>HYPERLINK("https://klasma.github.io/Logging_1214/klagomålsmail/A 61064-2024 FSC-klagomål mail.docx", "A 61064-2024")</f>
        <v/>
      </c>
      <c r="AA6">
        <f>HYPERLINK("https://klasma.github.io/Logging_1214/tillsyn/A 61064-2024 tillsynsbegäran.docx", "A 61064-2024")</f>
        <v/>
      </c>
      <c r="AB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46220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Korndådra</t>
        </is>
      </c>
      <c r="V7">
        <f>HYPERLINK("https://klasma.github.io/Logging_1214/artfynd/A 11170-2023 artfynd.xlsx", "A 11170-2023")</f>
        <v/>
      </c>
      <c r="W7">
        <f>HYPERLINK("https://klasma.github.io/Logging_1214/kartor/A 11170-2023 karta.png", "A 11170-2023")</f>
        <v/>
      </c>
      <c r="Y7">
        <f>HYPERLINK("https://klasma.github.io/Logging_1214/klagomål/A 11170-2023 FSC-klagomål.docx", "A 11170-2023")</f>
        <v/>
      </c>
      <c r="Z7">
        <f>HYPERLINK("https://klasma.github.io/Logging_1214/klagomålsmail/A 11170-2023 FSC-klagomål mail.docx", "A 11170-2023")</f>
        <v/>
      </c>
      <c r="AA7">
        <f>HYPERLINK("https://klasma.github.io/Logging_1214/tillsyn/A 11170-2023 tillsynsbegäran.docx", "A 11170-2023")</f>
        <v/>
      </c>
      <c r="AB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46220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Lundticka</t>
        </is>
      </c>
      <c r="V8">
        <f>HYPERLINK("https://klasma.github.io/Logging_1214/artfynd/A 15456-2024 artfynd.xlsx", "A 15456-2024")</f>
        <v/>
      </c>
      <c r="W8">
        <f>HYPERLINK("https://klasma.github.io/Logging_1214/kartor/A 15456-2024 karta.png", "A 15456-2024")</f>
        <v/>
      </c>
      <c r="Y8">
        <f>HYPERLINK("https://klasma.github.io/Logging_1214/klagomål/A 15456-2024 FSC-klagomål.docx", "A 15456-2024")</f>
        <v/>
      </c>
      <c r="Z8">
        <f>HYPERLINK("https://klasma.github.io/Logging_1214/klagomålsmail/A 15456-2024 FSC-klagomål mail.docx", "A 15456-2024")</f>
        <v/>
      </c>
      <c r="AA8">
        <f>HYPERLINK("https://klasma.github.io/Logging_1214/tillsyn/A 15456-2024 tillsynsbegäran.docx", "A 15456-2024")</f>
        <v/>
      </c>
      <c r="AB8">
        <f>HYPERLINK("https://klasma.github.io/Logging_1214/tillsynsmail/A 15456-2024 tillsynsbegäran mail.docx", "A 15456-2024")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46220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Myskmadra</t>
        </is>
      </c>
      <c r="V9">
        <f>HYPERLINK("https://klasma.github.io/Logging_1214/artfynd/A 20125-2024 artfynd.xlsx", "A 20125-2024")</f>
        <v/>
      </c>
      <c r="W9">
        <f>HYPERLINK("https://klasma.github.io/Logging_1214/kartor/A 20125-2024 karta.png", "A 20125-2024")</f>
        <v/>
      </c>
      <c r="Y9">
        <f>HYPERLINK("https://klasma.github.io/Logging_1214/klagomål/A 20125-2024 FSC-klagomål.docx", "A 20125-2024")</f>
        <v/>
      </c>
      <c r="Z9">
        <f>HYPERLINK("https://klasma.github.io/Logging_1214/klagomålsmail/A 20125-2024 FSC-klagomål mail.docx", "A 20125-2024")</f>
        <v/>
      </c>
      <c r="AA9">
        <f>HYPERLINK("https://klasma.github.io/Logging_1214/tillsyn/A 20125-2024 tillsynsbegäran.docx", "A 20125-2024")</f>
        <v/>
      </c>
      <c r="AB9">
        <f>HYPERLINK("https://klasma.github.io/Logging_1214/tillsynsmail/A 20125-2024 tillsynsbegäran mail.docx", "A 20125-2024")</f>
        <v/>
      </c>
    </row>
    <row r="10" ht="15" customHeight="1">
      <c r="A10" t="inlineStr">
        <is>
          <t>A 52664-2023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45225</v>
      </c>
      <c r="E10" s="1" t="n">
        <v>46220</v>
      </c>
      <c r="F10" t="inlineStr">
        <is>
          <t>SKÅNE LÄN</t>
        </is>
      </c>
      <c r="G10" t="inlineStr">
        <is>
          <t>SVALÖV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Skogsknipprot</t>
        </is>
      </c>
      <c r="V10">
        <f>HYPERLINK("https://klasma.github.io/Logging_1214/artfynd/A 52664-2023 artfynd.xlsx", "A 52664-2023")</f>
        <v/>
      </c>
      <c r="W10">
        <f>HYPERLINK("https://klasma.github.io/Logging_1214/kartor/A 52664-2023 karta.png", "A 52664-2023")</f>
        <v/>
      </c>
      <c r="Y10">
        <f>HYPERLINK("https://klasma.github.io/Logging_1214/klagomål/A 52664-2023 FSC-klagomål.docx", "A 52664-2023")</f>
        <v/>
      </c>
      <c r="Z10">
        <f>HYPERLINK("https://klasma.github.io/Logging_1214/klagomålsmail/A 52664-2023 FSC-klagomål mail.docx", "A 52664-2023")</f>
        <v/>
      </c>
      <c r="AA10">
        <f>HYPERLINK("https://klasma.github.io/Logging_1214/tillsyn/A 52664-2023 tillsynsbegäran.docx", "A 52664-2023")</f>
        <v/>
      </c>
      <c r="AB10">
        <f>HYPERLINK("https://klasma.github.io/Logging_1214/tillsynsmail/A 52664-2023 tillsynsbegäran mail.docx", "A 52664-2023")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46220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Skogsveronika</t>
        </is>
      </c>
      <c r="V11">
        <f>HYPERLINK("https://klasma.github.io/Logging_1214/artfynd/A 11672-2024 artfynd.xlsx", "A 11672-2024")</f>
        <v/>
      </c>
      <c r="W11">
        <f>HYPERLINK("https://klasma.github.io/Logging_1214/kartor/A 11672-2024 karta.png", "A 11672-2024")</f>
        <v/>
      </c>
      <c r="Y11">
        <f>HYPERLINK("https://klasma.github.io/Logging_1214/klagomål/A 11672-2024 FSC-klagomål.docx", "A 11672-2024")</f>
        <v/>
      </c>
      <c r="Z11">
        <f>HYPERLINK("https://klasma.github.io/Logging_1214/klagomålsmail/A 11672-2024 FSC-klagomål mail.docx", "A 11672-2024")</f>
        <v/>
      </c>
      <c r="AA11">
        <f>HYPERLINK("https://klasma.github.io/Logging_1214/tillsyn/A 11672-2024 tillsynsbegäran.docx", "A 11672-2024")</f>
        <v/>
      </c>
      <c r="AB11">
        <f>HYPERLINK("https://klasma.github.io/Logging_1214/tillsynsmail/A 11672-2024 tillsynsbegäran mail.docx", "A 11672-2024")</f>
        <v/>
      </c>
    </row>
    <row r="12" ht="15" customHeight="1">
      <c r="A12" t="inlineStr">
        <is>
          <t>A 54127-2025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46220</v>
      </c>
      <c r="F12" t="inlineStr">
        <is>
          <t>SKÅNE LÄN</t>
        </is>
      </c>
      <c r="G12" t="inlineStr">
        <is>
          <t>SVALÖV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Entita</t>
        </is>
      </c>
      <c r="V12">
        <f>HYPERLINK("https://klasma.github.io/Logging_1214/artfynd/A 54127-2025 artfynd.xlsx", "A 54127-2025")</f>
        <v/>
      </c>
      <c r="W12">
        <f>HYPERLINK("https://klasma.github.io/Logging_1214/kartor/A 54127-2025 karta.png", "A 54127-2025")</f>
        <v/>
      </c>
      <c r="Y12">
        <f>HYPERLINK("https://klasma.github.io/Logging_1214/klagomål/A 54127-2025 FSC-klagomål.docx", "A 54127-2025")</f>
        <v/>
      </c>
      <c r="Z12">
        <f>HYPERLINK("https://klasma.github.io/Logging_1214/klagomålsmail/A 54127-2025 FSC-klagomål mail.docx", "A 54127-2025")</f>
        <v/>
      </c>
      <c r="AA12">
        <f>HYPERLINK("https://klasma.github.io/Logging_1214/tillsyn/A 54127-2025 tillsynsbegäran.docx", "A 54127-2025")</f>
        <v/>
      </c>
      <c r="AB12">
        <f>HYPERLINK("https://klasma.github.io/Logging_1214/tillsynsmail/A 54127-2025 tillsynsbegäran mail.docx", "A 54127-2025")</f>
        <v/>
      </c>
      <c r="AC12">
        <f>HYPERLINK("https://klasma.github.io/Logging_1214/fåglar/A 54127-2025 prioriterade fågelarter.docx", "A 54127-2025")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46220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Större vattensalamander</t>
        </is>
      </c>
      <c r="V13">
        <f>HYPERLINK("https://klasma.github.io/Logging_1214/artfynd/A 1577-2024 artfynd.xlsx", "A 1577-2024")</f>
        <v/>
      </c>
      <c r="W13">
        <f>HYPERLINK("https://klasma.github.io/Logging_1214/kartor/A 1577-2024 karta.png", "A 1577-2024")</f>
        <v/>
      </c>
      <c r="Y13">
        <f>HYPERLINK("https://klasma.github.io/Logging_1214/klagomål/A 1577-2024 FSC-klagomål.docx", "A 1577-2024")</f>
        <v/>
      </c>
      <c r="Z13">
        <f>HYPERLINK("https://klasma.github.io/Logging_1214/klagomålsmail/A 1577-2024 FSC-klagomål mail.docx", "A 1577-2024")</f>
        <v/>
      </c>
      <c r="AA13">
        <f>HYPERLINK("https://klasma.github.io/Logging_1214/tillsyn/A 1577-2024 tillsynsbegäran.docx", "A 1577-2024")</f>
        <v/>
      </c>
      <c r="AB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46220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Mjukdån</t>
        </is>
      </c>
      <c r="V14">
        <f>HYPERLINK("https://klasma.github.io/Logging_1214/artfynd/A 8169-2024 artfynd.xlsx", "A 8169-2024")</f>
        <v/>
      </c>
      <c r="W14">
        <f>HYPERLINK("https://klasma.github.io/Logging_1214/kartor/A 8169-2024 karta.png", "A 8169-2024")</f>
        <v/>
      </c>
      <c r="Y14">
        <f>HYPERLINK("https://klasma.github.io/Logging_1214/klagomål/A 8169-2024 FSC-klagomål.docx", "A 8169-2024")</f>
        <v/>
      </c>
      <c r="Z14">
        <f>HYPERLINK("https://klasma.github.io/Logging_1214/klagomålsmail/A 8169-2024 FSC-klagomål mail.docx", "A 8169-2024")</f>
        <v/>
      </c>
      <c r="AA14">
        <f>HYPERLINK("https://klasma.github.io/Logging_1214/tillsyn/A 8169-2024 tillsynsbegäran.docx", "A 8169-2024")</f>
        <v/>
      </c>
      <c r="AB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46220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Noshornsoxe</t>
        </is>
      </c>
      <c r="V15">
        <f>HYPERLINK("https://klasma.github.io/Logging_1214/artfynd/S 3685-2023 artfynd.xlsx", "S 3685-2023")</f>
        <v/>
      </c>
      <c r="W15">
        <f>HYPERLINK("https://klasma.github.io/Logging_1214/kartor/S 3685-2023 karta.png", "S 3685-2023")</f>
        <v/>
      </c>
      <c r="Y15">
        <f>HYPERLINK("https://klasma.github.io/Logging_1214/klagomål/S 3685-2023 FSC-klagomål.docx", "S 3685-2023")</f>
        <v/>
      </c>
      <c r="Z15">
        <f>HYPERLINK("https://klasma.github.io/Logging_1214/klagomålsmail/S 3685-2023 FSC-klagomål mail.docx", "S 3685-2023")</f>
        <v/>
      </c>
      <c r="AA15">
        <f>HYPERLINK("https://klasma.github.io/Logging_1214/tillsyn/S 3685-2023 tillsynsbegäran.docx", "S 3685-2023")</f>
        <v/>
      </c>
      <c r="AB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46220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46220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46220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46220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46220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46220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46220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46220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46220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46220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46220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46220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46220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46220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24513-2025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45798</v>
      </c>
      <c r="E30" s="1" t="n">
        <v>46220</v>
      </c>
      <c r="F30" t="inlineStr">
        <is>
          <t>SKÅNE LÄN</t>
        </is>
      </c>
      <c r="G30" t="inlineStr">
        <is>
          <t>SVALÖV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27310-2023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45096</v>
      </c>
      <c r="E31" s="1" t="n">
        <v>46220</v>
      </c>
      <c r="F31" t="inlineStr">
        <is>
          <t>SKÅNE LÄN</t>
        </is>
      </c>
      <c r="G31" t="inlineStr">
        <is>
          <t>SVALÖV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22262-2023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45070</v>
      </c>
      <c r="E32" s="1" t="n">
        <v>46220</v>
      </c>
      <c r="F32" t="inlineStr">
        <is>
          <t>SKÅNE LÄN</t>
        </is>
      </c>
      <c r="G32" t="inlineStr">
        <is>
          <t>SVALÖV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44600</v>
      </c>
      <c r="E33" s="1" t="n">
        <v>46220</v>
      </c>
      <c r="F33" t="inlineStr">
        <is>
          <t>SKÅNE LÄN</t>
        </is>
      </c>
      <c r="G33" t="inlineStr">
        <is>
          <t>SVALÖV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42706-2025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45908</v>
      </c>
      <c r="E34" s="1" t="n">
        <v>46220</v>
      </c>
      <c r="F34" t="inlineStr">
        <is>
          <t>SKÅNE LÄN</t>
        </is>
      </c>
      <c r="G34" t="inlineStr">
        <is>
          <t>SVALÖV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16667-2023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45030</v>
      </c>
      <c r="E35" s="1" t="n">
        <v>46220</v>
      </c>
      <c r="F35" t="inlineStr">
        <is>
          <t>SKÅNE LÄN</t>
        </is>
      </c>
      <c r="G35" t="inlineStr">
        <is>
          <t>SVALÖV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43425-2025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45911</v>
      </c>
      <c r="E36" s="1" t="n">
        <v>46220</v>
      </c>
      <c r="F36" t="inlineStr">
        <is>
          <t>SKÅNE LÄN</t>
        </is>
      </c>
      <c r="G36" t="inlineStr">
        <is>
          <t>SVALÖV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22063-2025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45785</v>
      </c>
      <c r="E37" s="1" t="n">
        <v>46220</v>
      </c>
      <c r="F37" t="inlineStr">
        <is>
          <t>SKÅNE LÄN</t>
        </is>
      </c>
      <c r="G37" t="inlineStr">
        <is>
          <t>SVALÖV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1920-2025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45671</v>
      </c>
      <c r="E38" s="1" t="n">
        <v>46220</v>
      </c>
      <c r="F38" t="inlineStr">
        <is>
          <t>SKÅNE LÄN</t>
        </is>
      </c>
      <c r="G38" t="inlineStr">
        <is>
          <t>SVALÖV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17980-2025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45761</v>
      </c>
      <c r="E39" s="1" t="n">
        <v>46220</v>
      </c>
      <c r="F39" t="inlineStr">
        <is>
          <t>SKÅNE LÄN</t>
        </is>
      </c>
      <c r="G39" t="inlineStr">
        <is>
          <t>SVALÖV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8332-2025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45708</v>
      </c>
      <c r="E40" s="1" t="n">
        <v>46220</v>
      </c>
      <c r="F40" t="inlineStr">
        <is>
          <t>SKÅNE LÄN</t>
        </is>
      </c>
      <c r="G40" t="inlineStr">
        <is>
          <t>SVALÖV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19282-2025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45769</v>
      </c>
      <c r="E41" s="1" t="n">
        <v>46220</v>
      </c>
      <c r="F41" t="inlineStr">
        <is>
          <t>SKÅNE LÄN</t>
        </is>
      </c>
      <c r="G41" t="inlineStr">
        <is>
          <t>SVALÖV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44112-2023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45188</v>
      </c>
      <c r="E42" s="1" t="n">
        <v>46220</v>
      </c>
      <c r="F42" t="inlineStr">
        <is>
          <t>SKÅNE LÄN</t>
        </is>
      </c>
      <c r="G42" t="inlineStr">
        <is>
          <t>SVALÖV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47139-2025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45929</v>
      </c>
      <c r="E43" s="1" t="n">
        <v>46220</v>
      </c>
      <c r="F43" t="inlineStr">
        <is>
          <t>SKÅNE LÄN</t>
        </is>
      </c>
      <c r="G43" t="inlineStr">
        <is>
          <t>SVALÖV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11491-2023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44991</v>
      </c>
      <c r="E44" s="1" t="n">
        <v>46220</v>
      </c>
      <c r="F44" t="inlineStr">
        <is>
          <t>SKÅNE LÄN</t>
        </is>
      </c>
      <c r="G44" t="inlineStr">
        <is>
          <t>SVALÖV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11922-2023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44993</v>
      </c>
      <c r="E45" s="1" t="n">
        <v>46220</v>
      </c>
      <c r="F45" t="inlineStr">
        <is>
          <t>SKÅNE LÄN</t>
        </is>
      </c>
      <c r="G45" t="inlineStr">
        <is>
          <t>SVALÖV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37907-2025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45880</v>
      </c>
      <c r="E46" s="1" t="n">
        <v>46220</v>
      </c>
      <c r="F46" t="inlineStr">
        <is>
          <t>SKÅNE LÄN</t>
        </is>
      </c>
      <c r="G46" t="inlineStr">
        <is>
          <t>SVALÖV</t>
        </is>
      </c>
      <c r="H46" t="inlineStr">
        <is>
          <t>Kyrkan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40470-2025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45895</v>
      </c>
      <c r="E47" s="1" t="n">
        <v>46220</v>
      </c>
      <c r="F47" t="inlineStr">
        <is>
          <t>SKÅNE LÄN</t>
        </is>
      </c>
      <c r="G47" t="inlineStr">
        <is>
          <t>SVALÖV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5068-2026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46049</v>
      </c>
      <c r="E48" s="1" t="n">
        <v>46220</v>
      </c>
      <c r="F48" t="inlineStr">
        <is>
          <t>SKÅNE LÄN</t>
        </is>
      </c>
      <c r="G48" t="inlineStr">
        <is>
          <t>SVALÖV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59266-2025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46220</v>
      </c>
      <c r="F49" t="inlineStr">
        <is>
          <t>SKÅNE LÄN</t>
        </is>
      </c>
      <c r="G49" t="inlineStr">
        <is>
          <t>SVALÖV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43294-2025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45910</v>
      </c>
      <c r="E50" s="1" t="n">
        <v>46220</v>
      </c>
      <c r="F50" t="inlineStr">
        <is>
          <t>SKÅNE LÄN</t>
        </is>
      </c>
      <c r="G50" t="inlineStr">
        <is>
          <t>SVALÖV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35587-2024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45531</v>
      </c>
      <c r="E51" s="1" t="n">
        <v>46220</v>
      </c>
      <c r="F51" t="inlineStr">
        <is>
          <t>SKÅNE LÄN</t>
        </is>
      </c>
      <c r="G51" t="inlineStr">
        <is>
          <t>SVALÖV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6365-2026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46051</v>
      </c>
      <c r="E52" s="1" t="n">
        <v>46220</v>
      </c>
      <c r="F52" t="inlineStr">
        <is>
          <t>SKÅNE LÄN</t>
        </is>
      </c>
      <c r="G52" t="inlineStr">
        <is>
          <t>SVALÖV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43466-2025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45911</v>
      </c>
      <c r="E53" s="1" t="n">
        <v>46220</v>
      </c>
      <c r="F53" t="inlineStr">
        <is>
          <t>SKÅNE LÄN</t>
        </is>
      </c>
      <c r="G53" t="inlineStr">
        <is>
          <t>SVALÖV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8924-2023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46220</v>
      </c>
      <c r="F54" t="inlineStr">
        <is>
          <t>SKÅNE LÄN</t>
        </is>
      </c>
      <c r="G54" t="inlineStr">
        <is>
          <t>SVALÖV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43004-2025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46220</v>
      </c>
      <c r="F55" t="inlineStr">
        <is>
          <t>SKÅNE LÄN</t>
        </is>
      </c>
      <c r="G55" t="inlineStr">
        <is>
          <t>SVALÖV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1901-2025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45671</v>
      </c>
      <c r="E56" s="1" t="n">
        <v>46220</v>
      </c>
      <c r="F56" t="inlineStr">
        <is>
          <t>SKÅNE LÄN</t>
        </is>
      </c>
      <c r="G56" t="inlineStr">
        <is>
          <t>SVALÖV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22794-2024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45448</v>
      </c>
      <c r="E57" s="1" t="n">
        <v>46220</v>
      </c>
      <c r="F57" t="inlineStr">
        <is>
          <t>SKÅNE LÄN</t>
        </is>
      </c>
      <c r="G57" t="inlineStr">
        <is>
          <t>SVALÖV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32620-2023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45111</v>
      </c>
      <c r="E58" s="1" t="n">
        <v>46220</v>
      </c>
      <c r="F58" t="inlineStr">
        <is>
          <t>SKÅNE LÄN</t>
        </is>
      </c>
      <c r="G58" t="inlineStr">
        <is>
          <t>SVALÖV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44196-2024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45573</v>
      </c>
      <c r="E59" s="1" t="n">
        <v>46220</v>
      </c>
      <c r="F59" t="inlineStr">
        <is>
          <t>SKÅNE LÄN</t>
        </is>
      </c>
      <c r="G59" t="inlineStr">
        <is>
          <t>SVALÖV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17731-2025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45758</v>
      </c>
      <c r="E60" s="1" t="n">
        <v>46220</v>
      </c>
      <c r="F60" t="inlineStr">
        <is>
          <t>SKÅNE LÄN</t>
        </is>
      </c>
      <c r="G60" t="inlineStr">
        <is>
          <t>SVALÖV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14543-2024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45394</v>
      </c>
      <c r="E61" s="1" t="n">
        <v>46220</v>
      </c>
      <c r="F61" t="inlineStr">
        <is>
          <t>SKÅNE LÄN</t>
        </is>
      </c>
      <c r="G61" t="inlineStr">
        <is>
          <t>SVALÖV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13273-2024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45386</v>
      </c>
      <c r="E62" s="1" t="n">
        <v>46220</v>
      </c>
      <c r="F62" t="inlineStr">
        <is>
          <t>SKÅNE LÄN</t>
        </is>
      </c>
      <c r="G62" t="inlineStr">
        <is>
          <t>SVALÖV</t>
        </is>
      </c>
      <c r="I62" t="n">
        <v>12.4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14533-2026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46100</v>
      </c>
      <c r="E63" s="1" t="n">
        <v>46220</v>
      </c>
      <c r="F63" t="inlineStr">
        <is>
          <t>SKÅNE LÄN</t>
        </is>
      </c>
      <c r="G63" t="inlineStr">
        <is>
          <t>SVALÖV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13787-2026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46097</v>
      </c>
      <c r="E64" s="1" t="n">
        <v>46220</v>
      </c>
      <c r="F64" t="inlineStr">
        <is>
          <t>SKÅNE LÄN</t>
        </is>
      </c>
      <c r="G64" t="inlineStr">
        <is>
          <t>SVALÖV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22792-2024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45448</v>
      </c>
      <c r="E65" s="1" t="n">
        <v>46220</v>
      </c>
      <c r="F65" t="inlineStr">
        <is>
          <t>SKÅNE LÄN</t>
        </is>
      </c>
      <c r="G65" t="inlineStr">
        <is>
          <t>SVALÖV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13791-2026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46097</v>
      </c>
      <c r="E66" s="1" t="n">
        <v>46220</v>
      </c>
      <c r="F66" t="inlineStr">
        <is>
          <t>SKÅNE LÄN</t>
        </is>
      </c>
      <c r="G66" t="inlineStr">
        <is>
          <t>SVALÖV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15747-2026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46107</v>
      </c>
      <c r="E67" s="1" t="n">
        <v>46220</v>
      </c>
      <c r="F67" t="inlineStr">
        <is>
          <t>SKÅNE LÄN</t>
        </is>
      </c>
      <c r="G67" t="inlineStr">
        <is>
          <t>SVALÖV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14546-2024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45394</v>
      </c>
      <c r="E68" s="1" t="n">
        <v>46220</v>
      </c>
      <c r="F68" t="inlineStr">
        <is>
          <t>SKÅNE LÄN</t>
        </is>
      </c>
      <c r="G68" t="inlineStr">
        <is>
          <t>SVALÖV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3430-2026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46042</v>
      </c>
      <c r="E69" s="1" t="n">
        <v>46220</v>
      </c>
      <c r="F69" t="inlineStr">
        <is>
          <t>SKÅNE LÄN</t>
        </is>
      </c>
      <c r="G69" t="inlineStr">
        <is>
          <t>SVALÖV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18121-2025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45761</v>
      </c>
      <c r="E70" s="1" t="n">
        <v>46220</v>
      </c>
      <c r="F70" t="inlineStr">
        <is>
          <t>SKÅNE LÄN</t>
        </is>
      </c>
      <c r="G70" t="inlineStr">
        <is>
          <t>SVALÖV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16215-2022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44670</v>
      </c>
      <c r="E71" s="1" t="n">
        <v>46220</v>
      </c>
      <c r="F71" t="inlineStr">
        <is>
          <t>SKÅNE LÄN</t>
        </is>
      </c>
      <c r="G71" t="inlineStr">
        <is>
          <t>SVALÖV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18926-2026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46127</v>
      </c>
      <c r="E72" s="1" t="n">
        <v>46220</v>
      </c>
      <c r="F72" t="inlineStr">
        <is>
          <t>SKÅNE LÄN</t>
        </is>
      </c>
      <c r="G72" t="inlineStr">
        <is>
          <t>SVALÖV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15487-2025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45747</v>
      </c>
      <c r="E73" s="1" t="n">
        <v>46220</v>
      </c>
      <c r="F73" t="inlineStr">
        <is>
          <t>SKÅNE LÄN</t>
        </is>
      </c>
      <c r="G73" t="inlineStr">
        <is>
          <t>SVALÖV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4964-2022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44593</v>
      </c>
      <c r="E74" s="1" t="n">
        <v>46220</v>
      </c>
      <c r="F74" t="inlineStr">
        <is>
          <t>SKÅNE LÄN</t>
        </is>
      </c>
      <c r="G74" t="inlineStr">
        <is>
          <t>SVALÖV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37354-2022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46220</v>
      </c>
      <c r="F75" t="inlineStr">
        <is>
          <t>SKÅNE LÄN</t>
        </is>
      </c>
      <c r="G75" t="inlineStr">
        <is>
          <t>SVALÖV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20235-2025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45772</v>
      </c>
      <c r="E76" s="1" t="n">
        <v>46220</v>
      </c>
      <c r="F76" t="inlineStr">
        <is>
          <t>SKÅNE LÄN</t>
        </is>
      </c>
      <c r="G76" t="inlineStr">
        <is>
          <t>SVALÖV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34810-2023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45141</v>
      </c>
      <c r="E77" s="1" t="n">
        <v>46220</v>
      </c>
      <c r="F77" t="inlineStr">
        <is>
          <t>SKÅNE LÄN</t>
        </is>
      </c>
      <c r="G77" t="inlineStr">
        <is>
          <t>SVALÖV</t>
        </is>
      </c>
      <c r="I77" t="n">
        <v>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62201-2025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46006</v>
      </c>
      <c r="E78" s="1" t="n">
        <v>46220</v>
      </c>
      <c r="F78" t="inlineStr">
        <is>
          <t>SKÅNE LÄN</t>
        </is>
      </c>
      <c r="G78" t="inlineStr">
        <is>
          <t>SVALÖV</t>
        </is>
      </c>
      <c r="I78" t="n">
        <v>22.1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11633-2024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45373</v>
      </c>
      <c r="E79" s="1" t="n">
        <v>46220</v>
      </c>
      <c r="F79" t="inlineStr">
        <is>
          <t>SKÅNE LÄN</t>
        </is>
      </c>
      <c r="G79" t="inlineStr">
        <is>
          <t>SVALÖV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20170-2024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45434</v>
      </c>
      <c r="E80" s="1" t="n">
        <v>46220</v>
      </c>
      <c r="F80" t="inlineStr">
        <is>
          <t>SKÅNE LÄN</t>
        </is>
      </c>
      <c r="G80" t="inlineStr">
        <is>
          <t>SVALÖV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27380-2026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46189</v>
      </c>
      <c r="E81" s="1" t="n">
        <v>46220</v>
      </c>
      <c r="F81" t="inlineStr">
        <is>
          <t>SKÅNE LÄN</t>
        </is>
      </c>
      <c r="G81" t="inlineStr">
        <is>
          <t>SVALÖV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61620-2022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44910</v>
      </c>
      <c r="E82" s="1" t="n">
        <v>46220</v>
      </c>
      <c r="F82" t="inlineStr">
        <is>
          <t>SKÅNE LÄN</t>
        </is>
      </c>
      <c r="G82" t="inlineStr">
        <is>
          <t>SVALÖV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5190-2024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45330</v>
      </c>
      <c r="E83" s="1" t="n">
        <v>46220</v>
      </c>
      <c r="F83" t="inlineStr">
        <is>
          <t>SKÅNE LÄN</t>
        </is>
      </c>
      <c r="G83" t="inlineStr">
        <is>
          <t>SVALÖV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48279-2021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44449</v>
      </c>
      <c r="E84" s="1" t="n">
        <v>46220</v>
      </c>
      <c r="F84" t="inlineStr">
        <is>
          <t>SKÅNE LÄN</t>
        </is>
      </c>
      <c r="G84" t="inlineStr">
        <is>
          <t>SVALÖV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21774-2024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45442</v>
      </c>
      <c r="E85" s="1" t="n">
        <v>46220</v>
      </c>
      <c r="F85" t="inlineStr">
        <is>
          <t>SKÅNE LÄN</t>
        </is>
      </c>
      <c r="G85" t="inlineStr">
        <is>
          <t>SVALÖV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62403-2022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44923</v>
      </c>
      <c r="E86" s="1" t="n">
        <v>46220</v>
      </c>
      <c r="F86" t="inlineStr">
        <is>
          <t>SKÅNE LÄN</t>
        </is>
      </c>
      <c r="G86" t="inlineStr">
        <is>
          <t>SVALÖV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29337-2026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46202</v>
      </c>
      <c r="E87" s="1" t="n">
        <v>46220</v>
      </c>
      <c r="F87" t="inlineStr">
        <is>
          <t>SKÅNE LÄN</t>
        </is>
      </c>
      <c r="G87" t="inlineStr">
        <is>
          <t>SVALÖV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43736-2023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45182</v>
      </c>
      <c r="E88" s="1" t="n">
        <v>46220</v>
      </c>
      <c r="F88" t="inlineStr">
        <is>
          <t>SKÅNE LÄN</t>
        </is>
      </c>
      <c r="G88" t="inlineStr">
        <is>
          <t>SVALÖV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42588-2023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45176</v>
      </c>
      <c r="E89" s="1" t="n">
        <v>46220</v>
      </c>
      <c r="F89" t="inlineStr">
        <is>
          <t>SKÅNE LÄN</t>
        </is>
      </c>
      <c r="G89" t="inlineStr">
        <is>
          <t>SVALÖV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15157-2023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45016</v>
      </c>
      <c r="E90" s="1" t="n">
        <v>46220</v>
      </c>
      <c r="F90" t="inlineStr">
        <is>
          <t>SKÅNE LÄN</t>
        </is>
      </c>
      <c r="G90" t="inlineStr">
        <is>
          <t>SVALÖV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30202-2026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46206</v>
      </c>
      <c r="E91" s="1" t="n">
        <v>46220</v>
      </c>
      <c r="F91" t="inlineStr">
        <is>
          <t>SKÅNE LÄN</t>
        </is>
      </c>
      <c r="G91" t="inlineStr">
        <is>
          <t>SVALÖV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18438-2026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46127</v>
      </c>
      <c r="E92" s="1" t="n">
        <v>46220</v>
      </c>
      <c r="F92" t="inlineStr">
        <is>
          <t>SKÅNE LÄN</t>
        </is>
      </c>
      <c r="G92" t="inlineStr">
        <is>
          <t>SVALÖV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44930</v>
      </c>
      <c r="E93" s="1" t="n">
        <v>46220</v>
      </c>
      <c r="F93" t="inlineStr">
        <is>
          <t>SKÅNE LÄN</t>
        </is>
      </c>
      <c r="G93" t="inlineStr">
        <is>
          <t>SVALÖV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24286-2026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46169</v>
      </c>
      <c r="E94" s="1" t="n">
        <v>46220</v>
      </c>
      <c r="F94" t="inlineStr">
        <is>
          <t>SKÅNE LÄN</t>
        </is>
      </c>
      <c r="G94" t="inlineStr">
        <is>
          <t>SVALÖV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5184-2024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45330</v>
      </c>
      <c r="E95" s="1" t="n">
        <v>46220</v>
      </c>
      <c r="F95" t="inlineStr">
        <is>
          <t>SKÅNE LÄN</t>
        </is>
      </c>
      <c r="G95" t="inlineStr">
        <is>
          <t>SVALÖV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44107-2023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45188</v>
      </c>
      <c r="E96" s="1" t="n">
        <v>46220</v>
      </c>
      <c r="F96" t="inlineStr">
        <is>
          <t>SKÅNE LÄN</t>
        </is>
      </c>
      <c r="G96" t="inlineStr">
        <is>
          <t>SVALÖV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10196-2025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45719</v>
      </c>
      <c r="E97" s="1" t="n">
        <v>46220</v>
      </c>
      <c r="F97" t="inlineStr">
        <is>
          <t>SKÅNE LÄN</t>
        </is>
      </c>
      <c r="G97" t="inlineStr">
        <is>
          <t>SVALÖV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58970-2025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45987</v>
      </c>
      <c r="E98" s="1" t="n">
        <v>46220</v>
      </c>
      <c r="F98" t="inlineStr">
        <is>
          <t>SKÅNE LÄN</t>
        </is>
      </c>
      <c r="G98" t="inlineStr">
        <is>
          <t>SVALÖV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30535-2026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46210</v>
      </c>
      <c r="E99" s="1" t="n">
        <v>46220</v>
      </c>
      <c r="F99" t="inlineStr">
        <is>
          <t>SKÅNE LÄN</t>
        </is>
      </c>
      <c r="G99" t="inlineStr">
        <is>
          <t>SVALÖV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25522-2026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46177</v>
      </c>
      <c r="E100" s="1" t="n">
        <v>46220</v>
      </c>
      <c r="F100" t="inlineStr">
        <is>
          <t>SKÅNE LÄN</t>
        </is>
      </c>
      <c r="G100" t="inlineStr">
        <is>
          <t>SVALÖV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4149-2022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44588</v>
      </c>
      <c r="E101" s="1" t="n">
        <v>46220</v>
      </c>
      <c r="F101" t="inlineStr">
        <is>
          <t>SKÅNE LÄN</t>
        </is>
      </c>
      <c r="G101" t="inlineStr">
        <is>
          <t>SVALÖV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48262-2021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44449</v>
      </c>
      <c r="E102" s="1" t="n">
        <v>46220</v>
      </c>
      <c r="F102" t="inlineStr">
        <is>
          <t>SKÅNE LÄN</t>
        </is>
      </c>
      <c r="G102" t="inlineStr">
        <is>
          <t>SVALÖV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25832-2026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46178</v>
      </c>
      <c r="E103" s="1" t="n">
        <v>46220</v>
      </c>
      <c r="F103" t="inlineStr">
        <is>
          <t>SKÅNE LÄN</t>
        </is>
      </c>
      <c r="G103" t="inlineStr">
        <is>
          <t>SVALÖV</t>
        </is>
      </c>
      <c r="I103" t="n">
        <v>7.8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13245-2024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45386</v>
      </c>
      <c r="E104" s="1" t="n">
        <v>46220</v>
      </c>
      <c r="F104" t="inlineStr">
        <is>
          <t>SKÅNE LÄN</t>
        </is>
      </c>
      <c r="G104" t="inlineStr">
        <is>
          <t>SVALÖV</t>
        </is>
      </c>
      <c r="I104" t="n">
        <v>13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21814-2025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45783</v>
      </c>
      <c r="E105" s="1" t="n">
        <v>46220</v>
      </c>
      <c r="F105" t="inlineStr">
        <is>
          <t>SKÅNE LÄN</t>
        </is>
      </c>
      <c r="G105" t="inlineStr">
        <is>
          <t>SVALÖV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21541-2025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45782</v>
      </c>
      <c r="E106" s="1" t="n">
        <v>46220</v>
      </c>
      <c r="F106" t="inlineStr">
        <is>
          <t>SKÅNE LÄN</t>
        </is>
      </c>
      <c r="G106" t="inlineStr">
        <is>
          <t>SVALÖV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21556-2025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45782</v>
      </c>
      <c r="E107" s="1" t="n">
        <v>46220</v>
      </c>
      <c r="F107" t="inlineStr">
        <is>
          <t>SKÅNE LÄN</t>
        </is>
      </c>
      <c r="G107" t="inlineStr">
        <is>
          <t>SVALÖV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20047-2024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45434</v>
      </c>
      <c r="E108" s="1" t="n">
        <v>46220</v>
      </c>
      <c r="F108" t="inlineStr">
        <is>
          <t>SKÅNE LÄN</t>
        </is>
      </c>
      <c r="G108" t="inlineStr">
        <is>
          <t>SVALÖV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34808-2024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45526</v>
      </c>
      <c r="E109" s="1" t="n">
        <v>46220</v>
      </c>
      <c r="F109" t="inlineStr">
        <is>
          <t>SKÅNE LÄN</t>
        </is>
      </c>
      <c r="G109" t="inlineStr">
        <is>
          <t>SVALÖV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5167-2024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45330</v>
      </c>
      <c r="E110" s="1" t="n">
        <v>46220</v>
      </c>
      <c r="F110" t="inlineStr">
        <is>
          <t>SKÅNE LÄN</t>
        </is>
      </c>
      <c r="G110" t="inlineStr">
        <is>
          <t>SVALÖV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23747-2025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45793</v>
      </c>
      <c r="E111" s="1" t="n">
        <v>46220</v>
      </c>
      <c r="F111" t="inlineStr">
        <is>
          <t>SKÅNE LÄN</t>
        </is>
      </c>
      <c r="G111" t="inlineStr">
        <is>
          <t>SVALÖV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46220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2026-07-17T01:45:52Z</dcterms:created>
  <dcterms:modified xmlns:dcterms="http://purl.org/dc/terms/" xmlns:xsi="http://www.w3.org/2001/XMLSchema-instance" xsi:type="dcterms:W3CDTF">2026-07-17T01:45:52Z</dcterms:modified>
</cp:coreProperties>
</file>