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62543-2018</t>
        </is>
      </c>
      <c r="B2" s="1" t="n">
        <v>43413</v>
      </c>
      <c r="C2" s="1" t="n">
        <v>45363</v>
      </c>
      <c r="D2" t="inlineStr">
        <is>
          <t>SKÅNE LÄN</t>
        </is>
      </c>
      <c r="E2" t="inlineStr">
        <is>
          <t>SVALÖV</t>
        </is>
      </c>
      <c r="G2" t="n">
        <v>78.8</v>
      </c>
      <c r="H2" t="n">
        <v>3</v>
      </c>
      <c r="I2" t="n">
        <v>2</v>
      </c>
      <c r="J2" t="n">
        <v>0</v>
      </c>
      <c r="K2" t="n">
        <v>1</v>
      </c>
      <c r="L2" t="n">
        <v>2</v>
      </c>
      <c r="M2" t="n">
        <v>0</v>
      </c>
      <c r="N2" t="n">
        <v>0</v>
      </c>
      <c r="O2" t="n">
        <v>3</v>
      </c>
      <c r="P2" t="n">
        <v>3</v>
      </c>
      <c r="Q2" t="n">
        <v>6</v>
      </c>
      <c r="R2" s="2" t="inlineStr">
        <is>
          <t>Grönfink
Tolvtandad barkborre
Lundticka
Skogsknipprot
Vårärt
Röd glada</t>
        </is>
      </c>
      <c r="S2">
        <f>HYPERLINK("https://klasma.github.io/Logging_1214/artfynd/A 62543-2018 artfynd.xlsx", "A 62543-2018")</f>
        <v/>
      </c>
      <c r="T2">
        <f>HYPERLINK("https://klasma.github.io/Logging_1214/kartor/A 62543-2018 karta.png", "A 62543-2018")</f>
        <v/>
      </c>
      <c r="V2">
        <f>HYPERLINK("https://klasma.github.io/Logging_1214/klagomål/A 62543-2018 FSC-klagomål.docx", "A 62543-2018")</f>
        <v/>
      </c>
      <c r="W2">
        <f>HYPERLINK("https://klasma.github.io/Logging_1214/klagomålsmail/A 62543-2018 FSC-klagomål mail.docx", "A 62543-2018")</f>
        <v/>
      </c>
      <c r="X2">
        <f>HYPERLINK("https://klasma.github.io/Logging_1214/tillsyn/A 62543-2018 tillsynsbegäran.docx", "A 62543-2018")</f>
        <v/>
      </c>
      <c r="Y2">
        <f>HYPERLINK("https://klasma.github.io/Logging_1214/tillsynsmail/A 62543-2018 tillsynsbegäran mail.docx", "A 62543-2018")</f>
        <v/>
      </c>
      <c r="Z2">
        <f>HYPERLINK("https://klasma.github.io/Logging_1214/fåglar/A 62543-2018 prioriterade fågelarter.docx", "A 62543-2018")</f>
        <v/>
      </c>
    </row>
    <row r="3" ht="15" customHeight="1">
      <c r="A3" t="inlineStr">
        <is>
          <t>A 61588-2019</t>
        </is>
      </c>
      <c r="B3" s="1" t="n">
        <v>43777</v>
      </c>
      <c r="C3" s="1" t="n">
        <v>45363</v>
      </c>
      <c r="D3" t="inlineStr">
        <is>
          <t>SKÅNE LÄN</t>
        </is>
      </c>
      <c r="E3" t="inlineStr">
        <is>
          <t>SVALÖV</t>
        </is>
      </c>
      <c r="G3" t="n">
        <v>0.9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61588-2019 artfynd.xlsx", "A 61588-2019")</f>
        <v/>
      </c>
      <c r="T3">
        <f>HYPERLINK("https://klasma.github.io/Logging_1214/kartor/A 61588-2019 karta.png", "A 61588-2019")</f>
        <v/>
      </c>
      <c r="V3">
        <f>HYPERLINK("https://klasma.github.io/Logging_1214/klagomål/A 61588-2019 FSC-klagomål.docx", "A 61588-2019")</f>
        <v/>
      </c>
      <c r="W3">
        <f>HYPERLINK("https://klasma.github.io/Logging_1214/klagomålsmail/A 61588-2019 FSC-klagomål mail.docx", "A 61588-2019")</f>
        <v/>
      </c>
      <c r="X3">
        <f>HYPERLINK("https://klasma.github.io/Logging_1214/tillsyn/A 61588-2019 tillsynsbegäran.docx", "A 61588-2019")</f>
        <v/>
      </c>
      <c r="Y3">
        <f>HYPERLINK("https://klasma.github.io/Logging_1214/tillsynsmail/A 61588-2019 tillsynsbegäran mail.docx", "A 61588-2019")</f>
        <v/>
      </c>
    </row>
    <row r="4" ht="15" customHeight="1">
      <c r="A4" t="inlineStr">
        <is>
          <t>A 61593-2019</t>
        </is>
      </c>
      <c r="B4" s="1" t="n">
        <v>43777</v>
      </c>
      <c r="C4" s="1" t="n">
        <v>45363</v>
      </c>
      <c r="D4" t="inlineStr">
        <is>
          <t>SKÅNE LÄN</t>
        </is>
      </c>
      <c r="E4" t="inlineStr">
        <is>
          <t>SVALÖV</t>
        </is>
      </c>
      <c r="G4" t="n">
        <v>0.4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Springkorn
Stor häxört</t>
        </is>
      </c>
      <c r="S4">
        <f>HYPERLINK("https://klasma.github.io/Logging_1214/artfynd/A 61593-2019 artfynd.xlsx", "A 61593-2019")</f>
        <v/>
      </c>
      <c r="T4">
        <f>HYPERLINK("https://klasma.github.io/Logging_1214/kartor/A 61593-2019 karta.png", "A 61593-2019")</f>
        <v/>
      </c>
      <c r="V4">
        <f>HYPERLINK("https://klasma.github.io/Logging_1214/klagomål/A 61593-2019 FSC-klagomål.docx", "A 61593-2019")</f>
        <v/>
      </c>
      <c r="W4">
        <f>HYPERLINK("https://klasma.github.io/Logging_1214/klagomålsmail/A 61593-2019 FSC-klagomål mail.docx", "A 61593-2019")</f>
        <v/>
      </c>
      <c r="X4">
        <f>HYPERLINK("https://klasma.github.io/Logging_1214/tillsyn/A 61593-2019 tillsynsbegäran.docx", "A 61593-2019")</f>
        <v/>
      </c>
      <c r="Y4">
        <f>HYPERLINK("https://klasma.github.io/Logging_1214/tillsynsmail/A 61593-2019 tillsynsbegäran mail.docx", "A 61593-2019")</f>
        <v/>
      </c>
    </row>
    <row r="5" ht="15" customHeight="1">
      <c r="A5" t="inlineStr">
        <is>
          <t>A 1233-2020</t>
        </is>
      </c>
      <c r="B5" s="1" t="n">
        <v>43828</v>
      </c>
      <c r="C5" s="1" t="n">
        <v>45363</v>
      </c>
      <c r="D5" t="inlineStr">
        <is>
          <t>SKÅNE LÄN</t>
        </is>
      </c>
      <c r="E5" t="inlineStr">
        <is>
          <t>SVALÖV</t>
        </is>
      </c>
      <c r="G5" t="n">
        <v>7.8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Myskmadra
Stor häxört</t>
        </is>
      </c>
      <c r="S5">
        <f>HYPERLINK("https://klasma.github.io/Logging_1214/artfynd/A 1233-2020 artfynd.xlsx", "A 1233-2020")</f>
        <v/>
      </c>
      <c r="T5">
        <f>HYPERLINK("https://klasma.github.io/Logging_1214/kartor/A 1233-2020 karta.png", "A 1233-2020")</f>
        <v/>
      </c>
      <c r="V5">
        <f>HYPERLINK("https://klasma.github.io/Logging_1214/klagomål/A 1233-2020 FSC-klagomål.docx", "A 1233-2020")</f>
        <v/>
      </c>
      <c r="W5">
        <f>HYPERLINK("https://klasma.github.io/Logging_1214/klagomålsmail/A 1233-2020 FSC-klagomål mail.docx", "A 1233-2020")</f>
        <v/>
      </c>
      <c r="X5">
        <f>HYPERLINK("https://klasma.github.io/Logging_1214/tillsyn/A 1233-2020 tillsynsbegäran.docx", "A 1233-2020")</f>
        <v/>
      </c>
      <c r="Y5">
        <f>HYPERLINK("https://klasma.github.io/Logging_1214/tillsynsmail/A 1233-2020 tillsynsbegäran mail.docx", "A 1233-2020")</f>
        <v/>
      </c>
    </row>
    <row r="6" ht="15" customHeight="1">
      <c r="A6" t="inlineStr">
        <is>
          <t>A 34816-2023</t>
        </is>
      </c>
      <c r="B6" s="1" t="n">
        <v>45141</v>
      </c>
      <c r="C6" s="1" t="n">
        <v>45363</v>
      </c>
      <c r="D6" t="inlineStr">
        <is>
          <t>SKÅNE LÄN</t>
        </is>
      </c>
      <c r="E6" t="inlineStr">
        <is>
          <t>SVALÖV</t>
        </is>
      </c>
      <c r="G6" t="n">
        <v>1.6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Bokblombock
Koralltaggsvamp
Jättesvampmal</t>
        </is>
      </c>
      <c r="S6">
        <f>HYPERLINK("https://klasma.github.io/Logging_1214/artfynd/A 34816-2023 artfynd.xlsx", "A 34816-2023")</f>
        <v/>
      </c>
      <c r="T6">
        <f>HYPERLINK("https://klasma.github.io/Logging_1214/kartor/A 34816-2023 karta.png", "A 34816-2023")</f>
        <v/>
      </c>
      <c r="V6">
        <f>HYPERLINK("https://klasma.github.io/Logging_1214/klagomål/A 34816-2023 FSC-klagomål.docx", "A 34816-2023")</f>
        <v/>
      </c>
      <c r="W6">
        <f>HYPERLINK("https://klasma.github.io/Logging_1214/klagomålsmail/A 34816-2023 FSC-klagomål mail.docx", "A 34816-2023")</f>
        <v/>
      </c>
      <c r="X6">
        <f>HYPERLINK("https://klasma.github.io/Logging_1214/tillsyn/A 34816-2023 tillsynsbegäran.docx", "A 34816-2023")</f>
        <v/>
      </c>
      <c r="Y6">
        <f>HYPERLINK("https://klasma.github.io/Logging_1214/tillsynsmail/A 34816-2023 tillsynsbegäran mail.docx", "A 34816-2023")</f>
        <v/>
      </c>
    </row>
    <row r="7" ht="15" customHeight="1">
      <c r="A7" t="inlineStr">
        <is>
          <t>A 26855-2022</t>
        </is>
      </c>
      <c r="B7" s="1" t="n">
        <v>44740</v>
      </c>
      <c r="C7" s="1" t="n">
        <v>45363</v>
      </c>
      <c r="D7" t="inlineStr">
        <is>
          <t>SKÅNE LÄN</t>
        </is>
      </c>
      <c r="E7" t="inlineStr">
        <is>
          <t>SVALÖV</t>
        </is>
      </c>
      <c r="G7" t="n">
        <v>5.2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Skogsbräsma
Mattlummer</t>
        </is>
      </c>
      <c r="S7">
        <f>HYPERLINK("https://klasma.github.io/Logging_1214/artfynd/A 26855-2022 artfynd.xlsx", "A 26855-2022")</f>
        <v/>
      </c>
      <c r="T7">
        <f>HYPERLINK("https://klasma.github.io/Logging_1214/kartor/A 26855-2022 karta.png", "A 26855-2022")</f>
        <v/>
      </c>
      <c r="V7">
        <f>HYPERLINK("https://klasma.github.io/Logging_1214/klagomål/A 26855-2022 FSC-klagomål.docx", "A 26855-2022")</f>
        <v/>
      </c>
      <c r="W7">
        <f>HYPERLINK("https://klasma.github.io/Logging_1214/klagomålsmail/A 26855-2022 FSC-klagomål mail.docx", "A 26855-2022")</f>
        <v/>
      </c>
      <c r="X7">
        <f>HYPERLINK("https://klasma.github.io/Logging_1214/tillsyn/A 26855-2022 tillsynsbegäran.docx", "A 26855-2022")</f>
        <v/>
      </c>
      <c r="Y7">
        <f>HYPERLINK("https://klasma.github.io/Logging_1214/tillsynsmail/A 26855-2022 tillsynsbegäran mail.docx", "A 26855-2022")</f>
        <v/>
      </c>
    </row>
    <row r="8" ht="15" customHeight="1">
      <c r="A8" t="inlineStr">
        <is>
          <t>A 58481-2023</t>
        </is>
      </c>
      <c r="B8" s="1" t="n">
        <v>45251</v>
      </c>
      <c r="C8" s="1" t="n">
        <v>45363</v>
      </c>
      <c r="D8" t="inlineStr">
        <is>
          <t>SKÅNE LÄN</t>
        </is>
      </c>
      <c r="E8" t="inlineStr">
        <is>
          <t>SVALÖV</t>
        </is>
      </c>
      <c r="G8" t="n">
        <v>8.1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Stor häxört</t>
        </is>
      </c>
      <c r="S8">
        <f>HYPERLINK("https://klasma.github.io/Logging_1214/artfynd/A 58481-2023 artfynd.xlsx", "A 58481-2023")</f>
        <v/>
      </c>
      <c r="T8">
        <f>HYPERLINK("https://klasma.github.io/Logging_1214/kartor/A 58481-2023 karta.png", "A 58481-2023")</f>
        <v/>
      </c>
      <c r="V8">
        <f>HYPERLINK("https://klasma.github.io/Logging_1214/klagomål/A 58481-2023 FSC-klagomål.docx", "A 58481-2023")</f>
        <v/>
      </c>
      <c r="W8">
        <f>HYPERLINK("https://klasma.github.io/Logging_1214/klagomålsmail/A 58481-2023 FSC-klagomål mail.docx", "A 58481-2023")</f>
        <v/>
      </c>
      <c r="X8">
        <f>HYPERLINK("https://klasma.github.io/Logging_1214/tillsyn/A 58481-2023 tillsynsbegäran.docx", "A 58481-2023")</f>
        <v/>
      </c>
      <c r="Y8">
        <f>HYPERLINK("https://klasma.github.io/Logging_1214/tillsynsmail/A 58481-2023 tillsynsbegäran mail.docx", "A 58481-2023")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45363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11170-2023</t>
        </is>
      </c>
      <c r="B10" s="1" t="n">
        <v>44987</v>
      </c>
      <c r="C10" s="1" t="n">
        <v>45363</v>
      </c>
      <c r="D10" t="inlineStr">
        <is>
          <t>SKÅNE LÄN</t>
        </is>
      </c>
      <c r="E10" t="inlineStr">
        <is>
          <t>SVALÖV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Korndådra</t>
        </is>
      </c>
      <c r="S10">
        <f>HYPERLINK("https://klasma.github.io/Logging_1214/artfynd/A 11170-2023 artfynd.xlsx", "A 11170-2023")</f>
        <v/>
      </c>
      <c r="T10">
        <f>HYPERLINK("https://klasma.github.io/Logging_1214/kartor/A 11170-2023 karta.png", "A 11170-2023")</f>
        <v/>
      </c>
      <c r="V10">
        <f>HYPERLINK("https://klasma.github.io/Logging_1214/klagomål/A 11170-2023 FSC-klagomål.docx", "A 11170-2023")</f>
        <v/>
      </c>
      <c r="W10">
        <f>HYPERLINK("https://klasma.github.io/Logging_1214/klagomålsmail/A 11170-2023 FSC-klagomål mail.docx", "A 11170-2023")</f>
        <v/>
      </c>
      <c r="X10">
        <f>HYPERLINK("https://klasma.github.io/Logging_1214/tillsyn/A 11170-2023 tillsynsbegäran.docx", "A 11170-2023")</f>
        <v/>
      </c>
      <c r="Y10">
        <f>HYPERLINK("https://klasma.github.io/Logging_1214/tillsynsmail/A 11170-2023 tillsynsbegäran mail.docx", "A 11170-2023")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45363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45363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45363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43459-2018</t>
        </is>
      </c>
      <c r="B14" s="1" t="n">
        <v>43354</v>
      </c>
      <c r="C14" s="1" t="n">
        <v>45363</v>
      </c>
      <c r="D14" t="inlineStr">
        <is>
          <t>SKÅNE LÄN</t>
        </is>
      </c>
      <c r="E14" t="inlineStr">
        <is>
          <t>SVALÖV</t>
        </is>
      </c>
      <c r="G14" t="n">
        <v>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45825-2018</t>
        </is>
      </c>
      <c r="B15" s="1" t="n">
        <v>43363</v>
      </c>
      <c r="C15" s="1" t="n">
        <v>45363</v>
      </c>
      <c r="D15" t="inlineStr">
        <is>
          <t>SKÅNE LÄN</t>
        </is>
      </c>
      <c r="E15" t="inlineStr">
        <is>
          <t>SVALÖV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50548-2018</t>
        </is>
      </c>
      <c r="B16" s="1" t="n">
        <v>43376</v>
      </c>
      <c r="C16" s="1" t="n">
        <v>45363</v>
      </c>
      <c r="D16" t="inlineStr">
        <is>
          <t>SKÅNE LÄN</t>
        </is>
      </c>
      <c r="E16" t="inlineStr">
        <is>
          <t>SVALÖV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57156-2018</t>
        </is>
      </c>
      <c r="B17" s="1" t="n">
        <v>43396</v>
      </c>
      <c r="C17" s="1" t="n">
        <v>45363</v>
      </c>
      <c r="D17" t="inlineStr">
        <is>
          <t>SKÅNE LÄN</t>
        </is>
      </c>
      <c r="E17" t="inlineStr">
        <is>
          <t>SVALÖV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61515-2018</t>
        </is>
      </c>
      <c r="B18" s="1" t="n">
        <v>43413</v>
      </c>
      <c r="C18" s="1" t="n">
        <v>45363</v>
      </c>
      <c r="D18" t="inlineStr">
        <is>
          <t>SKÅNE LÄN</t>
        </is>
      </c>
      <c r="E18" t="inlineStr">
        <is>
          <t>SVALÖV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61934-2018</t>
        </is>
      </c>
      <c r="B19" s="1" t="n">
        <v>43413</v>
      </c>
      <c r="C19" s="1" t="n">
        <v>45363</v>
      </c>
      <c r="D19" t="inlineStr">
        <is>
          <t>SKÅNE LÄN</t>
        </is>
      </c>
      <c r="E19" t="inlineStr">
        <is>
          <t>SVALÖV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62293-2018</t>
        </is>
      </c>
      <c r="B20" s="1" t="n">
        <v>43413</v>
      </c>
      <c r="C20" s="1" t="n">
        <v>45363</v>
      </c>
      <c r="D20" t="inlineStr">
        <is>
          <t>SKÅNE LÄN</t>
        </is>
      </c>
      <c r="E20" t="inlineStr">
        <is>
          <t>SVALÖV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61914-2018</t>
        </is>
      </c>
      <c r="B21" s="1" t="n">
        <v>43413</v>
      </c>
      <c r="C21" s="1" t="n">
        <v>45363</v>
      </c>
      <c r="D21" t="inlineStr">
        <is>
          <t>SKÅNE LÄN</t>
        </is>
      </c>
      <c r="E21" t="inlineStr">
        <is>
          <t>SVALÖV</t>
        </is>
      </c>
      <c r="G21" t="n">
        <v>28.2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62290-2018</t>
        </is>
      </c>
      <c r="B22" s="1" t="n">
        <v>43413</v>
      </c>
      <c r="C22" s="1" t="n">
        <v>45363</v>
      </c>
      <c r="D22" t="inlineStr">
        <is>
          <t>SKÅNE LÄN</t>
        </is>
      </c>
      <c r="E22" t="inlineStr">
        <is>
          <t>SVALÖV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61447-2018</t>
        </is>
      </c>
      <c r="B23" s="1" t="n">
        <v>43413</v>
      </c>
      <c r="C23" s="1" t="n">
        <v>45363</v>
      </c>
      <c r="D23" t="inlineStr">
        <is>
          <t>SKÅNE LÄN</t>
        </is>
      </c>
      <c r="E23" t="inlineStr">
        <is>
          <t>SVALÖV</t>
        </is>
      </c>
      <c r="G23" t="n">
        <v>13.3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62141-2018</t>
        </is>
      </c>
      <c r="B24" s="1" t="n">
        <v>43413</v>
      </c>
      <c r="C24" s="1" t="n">
        <v>45363</v>
      </c>
      <c r="D24" t="inlineStr">
        <is>
          <t>SKÅNE LÄN</t>
        </is>
      </c>
      <c r="E24" t="inlineStr">
        <is>
          <t>SVALÖV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64488-2018</t>
        </is>
      </c>
      <c r="B25" s="1" t="n">
        <v>43419</v>
      </c>
      <c r="C25" s="1" t="n">
        <v>45363</v>
      </c>
      <c r="D25" t="inlineStr">
        <is>
          <t>SKÅNE LÄN</t>
        </is>
      </c>
      <c r="E25" t="inlineStr">
        <is>
          <t>SVALÖV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66138-2018</t>
        </is>
      </c>
      <c r="B26" s="1" t="n">
        <v>43427</v>
      </c>
      <c r="C26" s="1" t="n">
        <v>45363</v>
      </c>
      <c r="D26" t="inlineStr">
        <is>
          <t>SKÅNE LÄN</t>
        </is>
      </c>
      <c r="E26" t="inlineStr">
        <is>
          <t>SVALÖV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67846-2018</t>
        </is>
      </c>
      <c r="B27" s="1" t="n">
        <v>43440</v>
      </c>
      <c r="C27" s="1" t="n">
        <v>45363</v>
      </c>
      <c r="D27" t="inlineStr">
        <is>
          <t>SKÅNE LÄN</t>
        </is>
      </c>
      <c r="E27" t="inlineStr">
        <is>
          <t>SVALÖV</t>
        </is>
      </c>
      <c r="G27" t="n">
        <v>6.2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67850-2018</t>
        </is>
      </c>
      <c r="B28" s="1" t="n">
        <v>43440</v>
      </c>
      <c r="C28" s="1" t="n">
        <v>45363</v>
      </c>
      <c r="D28" t="inlineStr">
        <is>
          <t>SKÅNE LÄN</t>
        </is>
      </c>
      <c r="E28" t="inlineStr">
        <is>
          <t>SVALÖV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4559-2019</t>
        </is>
      </c>
      <c r="B29" s="1" t="n">
        <v>43486</v>
      </c>
      <c r="C29" s="1" t="n">
        <v>45363</v>
      </c>
      <c r="D29" t="inlineStr">
        <is>
          <t>SKÅNE LÄN</t>
        </is>
      </c>
      <c r="E29" t="inlineStr">
        <is>
          <t>SVALÖV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7238-2019</t>
        </is>
      </c>
      <c r="B30" s="1" t="n">
        <v>43496</v>
      </c>
      <c r="C30" s="1" t="n">
        <v>45363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7227-2019</t>
        </is>
      </c>
      <c r="B31" s="1" t="n">
        <v>43496</v>
      </c>
      <c r="C31" s="1" t="n">
        <v>45363</v>
      </c>
      <c r="D31" t="inlineStr">
        <is>
          <t>SKÅNE LÄN</t>
        </is>
      </c>
      <c r="E31" t="inlineStr">
        <is>
          <t>SVALÖV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7210-2019</t>
        </is>
      </c>
      <c r="B32" s="1" t="n">
        <v>43496</v>
      </c>
      <c r="C32" s="1" t="n">
        <v>45363</v>
      </c>
      <c r="D32" t="inlineStr">
        <is>
          <t>SKÅNE LÄN</t>
        </is>
      </c>
      <c r="E32" t="inlineStr">
        <is>
          <t>SVALÖV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7248-2019</t>
        </is>
      </c>
      <c r="B33" s="1" t="n">
        <v>43496</v>
      </c>
      <c r="C33" s="1" t="n">
        <v>45363</v>
      </c>
      <c r="D33" t="inlineStr">
        <is>
          <t>SKÅNE LÄN</t>
        </is>
      </c>
      <c r="E33" t="inlineStr">
        <is>
          <t>SVALÖV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17315-2019</t>
        </is>
      </c>
      <c r="B34" s="1" t="n">
        <v>43550</v>
      </c>
      <c r="C34" s="1" t="n">
        <v>45363</v>
      </c>
      <c r="D34" t="inlineStr">
        <is>
          <t>SKÅNE LÄN</t>
        </is>
      </c>
      <c r="E34" t="inlineStr">
        <is>
          <t>SVALÖV</t>
        </is>
      </c>
      <c r="G34" t="n">
        <v>9.1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17370-2019</t>
        </is>
      </c>
      <c r="B35" s="1" t="n">
        <v>43550</v>
      </c>
      <c r="C35" s="1" t="n">
        <v>45363</v>
      </c>
      <c r="D35" t="inlineStr">
        <is>
          <t>SKÅNE LÄN</t>
        </is>
      </c>
      <c r="E35" t="inlineStr">
        <is>
          <t>SVALÖV</t>
        </is>
      </c>
      <c r="G35" t="n">
        <v>13.8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17366-2019</t>
        </is>
      </c>
      <c r="B36" s="1" t="n">
        <v>43550</v>
      </c>
      <c r="C36" s="1" t="n">
        <v>45363</v>
      </c>
      <c r="D36" t="inlineStr">
        <is>
          <t>SKÅNE LÄN</t>
        </is>
      </c>
      <c r="E36" t="inlineStr">
        <is>
          <t>SVALÖV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17377-2019</t>
        </is>
      </c>
      <c r="B37" s="1" t="n">
        <v>43550</v>
      </c>
      <c r="C37" s="1" t="n">
        <v>45363</v>
      </c>
      <c r="D37" t="inlineStr">
        <is>
          <t>SKÅNE LÄN</t>
        </is>
      </c>
      <c r="E37" t="inlineStr">
        <is>
          <t>SVALÖV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28371-2019</t>
        </is>
      </c>
      <c r="B38" s="1" t="n">
        <v>43622</v>
      </c>
      <c r="C38" s="1" t="n">
        <v>45363</v>
      </c>
      <c r="D38" t="inlineStr">
        <is>
          <t>SKÅNE LÄN</t>
        </is>
      </c>
      <c r="E38" t="inlineStr">
        <is>
          <t>SVALÖV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28996-2019</t>
        </is>
      </c>
      <c r="B39" s="1" t="n">
        <v>43628</v>
      </c>
      <c r="C39" s="1" t="n">
        <v>45363</v>
      </c>
      <c r="D39" t="inlineStr">
        <is>
          <t>SKÅNE LÄN</t>
        </is>
      </c>
      <c r="E39" t="inlineStr">
        <is>
          <t>SVALÖV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40752-2019</t>
        </is>
      </c>
      <c r="B40" s="1" t="n">
        <v>43697</v>
      </c>
      <c r="C40" s="1" t="n">
        <v>45363</v>
      </c>
      <c r="D40" t="inlineStr">
        <is>
          <t>SKÅNE LÄN</t>
        </is>
      </c>
      <c r="E40" t="inlineStr">
        <is>
          <t>SVALÖV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43133-2019</t>
        </is>
      </c>
      <c r="B41" s="1" t="n">
        <v>43705</v>
      </c>
      <c r="C41" s="1" t="n">
        <v>45363</v>
      </c>
      <c r="D41" t="inlineStr">
        <is>
          <t>SKÅNE LÄN</t>
        </is>
      </c>
      <c r="E41" t="inlineStr">
        <is>
          <t>SVALÖV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48718-2019</t>
        </is>
      </c>
      <c r="B42" s="1" t="n">
        <v>43727</v>
      </c>
      <c r="C42" s="1" t="n">
        <v>45363</v>
      </c>
      <c r="D42" t="inlineStr">
        <is>
          <t>SKÅNE LÄN</t>
        </is>
      </c>
      <c r="E42" t="inlineStr">
        <is>
          <t>SVALÖV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49703-2019</t>
        </is>
      </c>
      <c r="B43" s="1" t="n">
        <v>43733</v>
      </c>
      <c r="C43" s="1" t="n">
        <v>45363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57614-2019</t>
        </is>
      </c>
      <c r="B44" s="1" t="n">
        <v>43761</v>
      </c>
      <c r="C44" s="1" t="n">
        <v>45363</v>
      </c>
      <c r="D44" t="inlineStr">
        <is>
          <t>SKÅNE LÄN</t>
        </is>
      </c>
      <c r="E44" t="inlineStr">
        <is>
          <t>SVALÖV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68517-2019</t>
        </is>
      </c>
      <c r="B45" s="1" t="n">
        <v>43811</v>
      </c>
      <c r="C45" s="1" t="n">
        <v>45363</v>
      </c>
      <c r="D45" t="inlineStr">
        <is>
          <t>SKÅNE LÄN</t>
        </is>
      </c>
      <c r="E45" t="inlineStr">
        <is>
          <t>SVALÖV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247-2020</t>
        </is>
      </c>
      <c r="B46" s="1" t="n">
        <v>43835</v>
      </c>
      <c r="C46" s="1" t="n">
        <v>45363</v>
      </c>
      <c r="D46" t="inlineStr">
        <is>
          <t>SKÅNE LÄN</t>
        </is>
      </c>
      <c r="E46" t="inlineStr">
        <is>
          <t>SVALÖV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1391-2020</t>
        </is>
      </c>
      <c r="B47" s="1" t="n">
        <v>43843</v>
      </c>
      <c r="C47" s="1" t="n">
        <v>45363</v>
      </c>
      <c r="D47" t="inlineStr">
        <is>
          <t>SKÅNE LÄN</t>
        </is>
      </c>
      <c r="E47" t="inlineStr">
        <is>
          <t>SVALÖV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10727-2020</t>
        </is>
      </c>
      <c r="B48" s="1" t="n">
        <v>43888</v>
      </c>
      <c r="C48" s="1" t="n">
        <v>45363</v>
      </c>
      <c r="D48" t="inlineStr">
        <is>
          <t>SKÅNE LÄN</t>
        </is>
      </c>
      <c r="E48" t="inlineStr">
        <is>
          <t>SVALÖV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19614-2020</t>
        </is>
      </c>
      <c r="B49" s="1" t="n">
        <v>43936</v>
      </c>
      <c r="C49" s="1" t="n">
        <v>45363</v>
      </c>
      <c r="D49" t="inlineStr">
        <is>
          <t>SKÅNE LÄN</t>
        </is>
      </c>
      <c r="E49" t="inlineStr">
        <is>
          <t>SVALÖV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20031-2020</t>
        </is>
      </c>
      <c r="B50" s="1" t="n">
        <v>43943</v>
      </c>
      <c r="C50" s="1" t="n">
        <v>45363</v>
      </c>
      <c r="D50" t="inlineStr">
        <is>
          <t>SKÅNE LÄN</t>
        </is>
      </c>
      <c r="E50" t="inlineStr">
        <is>
          <t>SVALÖV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25301-2020</t>
        </is>
      </c>
      <c r="B51" s="1" t="n">
        <v>43979</v>
      </c>
      <c r="C51" s="1" t="n">
        <v>45363</v>
      </c>
      <c r="D51" t="inlineStr">
        <is>
          <t>SKÅNE LÄN</t>
        </is>
      </c>
      <c r="E51" t="inlineStr">
        <is>
          <t>SVALÖV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28022-2020</t>
        </is>
      </c>
      <c r="B52" s="1" t="n">
        <v>43994</v>
      </c>
      <c r="C52" s="1" t="n">
        <v>45363</v>
      </c>
      <c r="D52" t="inlineStr">
        <is>
          <t>SKÅNE LÄN</t>
        </is>
      </c>
      <c r="E52" t="inlineStr">
        <is>
          <t>SVALÖV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31686-2020</t>
        </is>
      </c>
      <c r="B53" s="1" t="n">
        <v>44013</v>
      </c>
      <c r="C53" s="1" t="n">
        <v>45363</v>
      </c>
      <c r="D53" t="inlineStr">
        <is>
          <t>SKÅNE LÄN</t>
        </is>
      </c>
      <c r="E53" t="inlineStr">
        <is>
          <t>SVALÖV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41795-2020</t>
        </is>
      </c>
      <c r="B54" s="1" t="n">
        <v>44070</v>
      </c>
      <c r="C54" s="1" t="n">
        <v>45363</v>
      </c>
      <c r="D54" t="inlineStr">
        <is>
          <t>SKÅNE LÄN</t>
        </is>
      </c>
      <c r="E54" t="inlineStr">
        <is>
          <t>SVALÖV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45512-2020</t>
        </is>
      </c>
      <c r="B55" s="1" t="n">
        <v>44089</v>
      </c>
      <c r="C55" s="1" t="n">
        <v>45363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59744-2020</t>
        </is>
      </c>
      <c r="B56" s="1" t="n">
        <v>44151</v>
      </c>
      <c r="C56" s="1" t="n">
        <v>45363</v>
      </c>
      <c r="D56" t="inlineStr">
        <is>
          <t>SKÅNE LÄN</t>
        </is>
      </c>
      <c r="E56" t="inlineStr">
        <is>
          <t>SVALÖV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61223-2020</t>
        </is>
      </c>
      <c r="B57" s="1" t="n">
        <v>44155</v>
      </c>
      <c r="C57" s="1" t="n">
        <v>45363</v>
      </c>
      <c r="D57" t="inlineStr">
        <is>
          <t>SKÅNE LÄN</t>
        </is>
      </c>
      <c r="E57" t="inlineStr">
        <is>
          <t>SVALÖV</t>
        </is>
      </c>
      <c r="F57" t="inlineStr">
        <is>
          <t>Kyrkan</t>
        </is>
      </c>
      <c r="G57" t="n">
        <v>11.1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62425-2020</t>
        </is>
      </c>
      <c r="B58" s="1" t="n">
        <v>44159</v>
      </c>
      <c r="C58" s="1" t="n">
        <v>45363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65863-2020</t>
        </is>
      </c>
      <c r="B59" s="1" t="n">
        <v>44173</v>
      </c>
      <c r="C59" s="1" t="n">
        <v>45363</v>
      </c>
      <c r="D59" t="inlineStr">
        <is>
          <t>SKÅNE LÄN</t>
        </is>
      </c>
      <c r="E59" t="inlineStr">
        <is>
          <t>SVALÖV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2794-2021</t>
        </is>
      </c>
      <c r="B60" s="1" t="n">
        <v>44215</v>
      </c>
      <c r="C60" s="1" t="n">
        <v>45363</v>
      </c>
      <c r="D60" t="inlineStr">
        <is>
          <t>SKÅNE LÄN</t>
        </is>
      </c>
      <c r="E60" t="inlineStr">
        <is>
          <t>SVALÖV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3594-2021</t>
        </is>
      </c>
      <c r="B61" s="1" t="n">
        <v>44220</v>
      </c>
      <c r="C61" s="1" t="n">
        <v>45363</v>
      </c>
      <c r="D61" t="inlineStr">
        <is>
          <t>SKÅNE LÄN</t>
        </is>
      </c>
      <c r="E61" t="inlineStr">
        <is>
          <t>SVALÖV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3593-2021</t>
        </is>
      </c>
      <c r="B62" s="1" t="n">
        <v>44220</v>
      </c>
      <c r="C62" s="1" t="n">
        <v>45363</v>
      </c>
      <c r="D62" t="inlineStr">
        <is>
          <t>SKÅNE LÄN</t>
        </is>
      </c>
      <c r="E62" t="inlineStr">
        <is>
          <t>SVALÖV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3592-2021</t>
        </is>
      </c>
      <c r="B63" s="1" t="n">
        <v>44220</v>
      </c>
      <c r="C63" s="1" t="n">
        <v>45363</v>
      </c>
      <c r="D63" t="inlineStr">
        <is>
          <t>SKÅNE LÄN</t>
        </is>
      </c>
      <c r="E63" t="inlineStr">
        <is>
          <t>SVALÖV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8201-2021</t>
        </is>
      </c>
      <c r="B64" s="1" t="n">
        <v>44244</v>
      </c>
      <c r="C64" s="1" t="n">
        <v>45363</v>
      </c>
      <c r="D64" t="inlineStr">
        <is>
          <t>SKÅNE LÄN</t>
        </is>
      </c>
      <c r="E64" t="inlineStr">
        <is>
          <t>SVALÖV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8160-2021</t>
        </is>
      </c>
      <c r="B65" s="1" t="n">
        <v>44244</v>
      </c>
      <c r="C65" s="1" t="n">
        <v>45363</v>
      </c>
      <c r="D65" t="inlineStr">
        <is>
          <t>SKÅNE LÄN</t>
        </is>
      </c>
      <c r="E65" t="inlineStr">
        <is>
          <t>SVALÖV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11764-2021</t>
        </is>
      </c>
      <c r="B66" s="1" t="n">
        <v>44265</v>
      </c>
      <c r="C66" s="1" t="n">
        <v>45363</v>
      </c>
      <c r="D66" t="inlineStr">
        <is>
          <t>SKÅNE LÄN</t>
        </is>
      </c>
      <c r="E66" t="inlineStr">
        <is>
          <t>SVALÖV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15007-2021</t>
        </is>
      </c>
      <c r="B67" s="1" t="n">
        <v>44281</v>
      </c>
      <c r="C67" s="1" t="n">
        <v>45363</v>
      </c>
      <c r="D67" t="inlineStr">
        <is>
          <t>SKÅNE LÄN</t>
        </is>
      </c>
      <c r="E67" t="inlineStr">
        <is>
          <t>SVALÖV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16170-2021</t>
        </is>
      </c>
      <c r="B68" s="1" t="n">
        <v>44287</v>
      </c>
      <c r="C68" s="1" t="n">
        <v>45363</v>
      </c>
      <c r="D68" t="inlineStr">
        <is>
          <t>SKÅNE LÄN</t>
        </is>
      </c>
      <c r="E68" t="inlineStr">
        <is>
          <t>SVALÖV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16300-2021</t>
        </is>
      </c>
      <c r="B69" s="1" t="n">
        <v>44292</v>
      </c>
      <c r="C69" s="1" t="n">
        <v>45363</v>
      </c>
      <c r="D69" t="inlineStr">
        <is>
          <t>SKÅNE LÄN</t>
        </is>
      </c>
      <c r="E69" t="inlineStr">
        <is>
          <t>SVALÖV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17006-2021</t>
        </is>
      </c>
      <c r="B70" s="1" t="n">
        <v>44295</v>
      </c>
      <c r="C70" s="1" t="n">
        <v>45363</v>
      </c>
      <c r="D70" t="inlineStr">
        <is>
          <t>SKÅNE LÄN</t>
        </is>
      </c>
      <c r="E70" t="inlineStr">
        <is>
          <t>SVALÖV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19159-2021</t>
        </is>
      </c>
      <c r="B71" s="1" t="n">
        <v>44308</v>
      </c>
      <c r="C71" s="1" t="n">
        <v>45363</v>
      </c>
      <c r="D71" t="inlineStr">
        <is>
          <t>SKÅNE LÄN</t>
        </is>
      </c>
      <c r="E71" t="inlineStr">
        <is>
          <t>SVALÖV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19623-2021</t>
        </is>
      </c>
      <c r="B72" s="1" t="n">
        <v>44309</v>
      </c>
      <c r="C72" s="1" t="n">
        <v>45363</v>
      </c>
      <c r="D72" t="inlineStr">
        <is>
          <t>SKÅNE LÄN</t>
        </is>
      </c>
      <c r="E72" t="inlineStr">
        <is>
          <t>SVALÖV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19626-2021</t>
        </is>
      </c>
      <c r="B73" s="1" t="n">
        <v>44309</v>
      </c>
      <c r="C73" s="1" t="n">
        <v>45363</v>
      </c>
      <c r="D73" t="inlineStr">
        <is>
          <t>SKÅNE LÄN</t>
        </is>
      </c>
      <c r="E73" t="inlineStr">
        <is>
          <t>SVALÖV</t>
        </is>
      </c>
      <c r="G73" t="n">
        <v>17.8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29296-2021</t>
        </is>
      </c>
      <c r="B74" s="1" t="n">
        <v>44361</v>
      </c>
      <c r="C74" s="1" t="n">
        <v>45363</v>
      </c>
      <c r="D74" t="inlineStr">
        <is>
          <t>SKÅNE LÄN</t>
        </is>
      </c>
      <c r="E74" t="inlineStr">
        <is>
          <t>SVALÖV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34859-2021</t>
        </is>
      </c>
      <c r="B75" s="1" t="n">
        <v>44382</v>
      </c>
      <c r="C75" s="1" t="n">
        <v>45363</v>
      </c>
      <c r="D75" t="inlineStr">
        <is>
          <t>SKÅNE LÄN</t>
        </is>
      </c>
      <c r="E75" t="inlineStr">
        <is>
          <t>SVALÖV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36409-2021</t>
        </is>
      </c>
      <c r="B76" s="1" t="n">
        <v>44390</v>
      </c>
      <c r="C76" s="1" t="n">
        <v>45363</v>
      </c>
      <c r="D76" t="inlineStr">
        <is>
          <t>SKÅNE LÄN</t>
        </is>
      </c>
      <c r="E76" t="inlineStr">
        <is>
          <t>SVALÖV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48279-2021</t>
        </is>
      </c>
      <c r="B77" s="1" t="n">
        <v>44449</v>
      </c>
      <c r="C77" s="1" t="n">
        <v>45363</v>
      </c>
      <c r="D77" t="inlineStr">
        <is>
          <t>SKÅNE LÄN</t>
        </is>
      </c>
      <c r="E77" t="inlineStr">
        <is>
          <t>SVALÖV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48262-2021</t>
        </is>
      </c>
      <c r="B78" s="1" t="n">
        <v>44449</v>
      </c>
      <c r="C78" s="1" t="n">
        <v>45363</v>
      </c>
      <c r="D78" t="inlineStr">
        <is>
          <t>SKÅNE LÄN</t>
        </is>
      </c>
      <c r="E78" t="inlineStr">
        <is>
          <t>SVALÖV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57451-2021</t>
        </is>
      </c>
      <c r="B79" s="1" t="n">
        <v>44483</v>
      </c>
      <c r="C79" s="1" t="n">
        <v>45363</v>
      </c>
      <c r="D79" t="inlineStr">
        <is>
          <t>SKÅNE LÄN</t>
        </is>
      </c>
      <c r="E79" t="inlineStr">
        <is>
          <t>SVALÖV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61495-2021</t>
        </is>
      </c>
      <c r="B80" s="1" t="n">
        <v>44501</v>
      </c>
      <c r="C80" s="1" t="n">
        <v>45363</v>
      </c>
      <c r="D80" t="inlineStr">
        <is>
          <t>SKÅNE LÄN</t>
        </is>
      </c>
      <c r="E80" t="inlineStr">
        <is>
          <t>SVALÖV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3941-2022</t>
        </is>
      </c>
      <c r="B81" s="1" t="n">
        <v>44587</v>
      </c>
      <c r="C81" s="1" t="n">
        <v>45363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4149-2022</t>
        </is>
      </c>
      <c r="B82" s="1" t="n">
        <v>44588</v>
      </c>
      <c r="C82" s="1" t="n">
        <v>45363</v>
      </c>
      <c r="D82" t="inlineStr">
        <is>
          <t>SKÅNE LÄN</t>
        </is>
      </c>
      <c r="E82" t="inlineStr">
        <is>
          <t>SVALÖV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4964-2022</t>
        </is>
      </c>
      <c r="B83" s="1" t="n">
        <v>44593</v>
      </c>
      <c r="C83" s="1" t="n">
        <v>45363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5937-2022</t>
        </is>
      </c>
      <c r="B84" s="1" t="n">
        <v>44598</v>
      </c>
      <c r="C84" s="1" t="n">
        <v>45363</v>
      </c>
      <c r="D84" t="inlineStr">
        <is>
          <t>SKÅNE LÄN</t>
        </is>
      </c>
      <c r="E84" t="inlineStr">
        <is>
          <t>SVALÖV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6007-2022</t>
        </is>
      </c>
      <c r="B85" s="1" t="n">
        <v>44599</v>
      </c>
      <c r="C85" s="1" t="n">
        <v>45363</v>
      </c>
      <c r="D85" t="inlineStr">
        <is>
          <t>SKÅNE LÄN</t>
        </is>
      </c>
      <c r="E85" t="inlineStr">
        <is>
          <t>SVALÖV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6335-2022</t>
        </is>
      </c>
      <c r="B86" s="1" t="n">
        <v>44600</v>
      </c>
      <c r="C86" s="1" t="n">
        <v>45363</v>
      </c>
      <c r="D86" t="inlineStr">
        <is>
          <t>SKÅNE LÄN</t>
        </is>
      </c>
      <c r="E86" t="inlineStr">
        <is>
          <t>SVALÖV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9716-2022</t>
        </is>
      </c>
      <c r="B87" s="1" t="n">
        <v>44617</v>
      </c>
      <c r="C87" s="1" t="n">
        <v>45363</v>
      </c>
      <c r="D87" t="inlineStr">
        <is>
          <t>SKÅNE LÄN</t>
        </is>
      </c>
      <c r="E87" t="inlineStr">
        <is>
          <t>SVALÖV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16215-2022</t>
        </is>
      </c>
      <c r="B88" s="1" t="n">
        <v>44670</v>
      </c>
      <c r="C88" s="1" t="n">
        <v>45363</v>
      </c>
      <c r="D88" t="inlineStr">
        <is>
          <t>SKÅNE LÄN</t>
        </is>
      </c>
      <c r="E88" t="inlineStr">
        <is>
          <t>SVALÖV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25350-2022</t>
        </is>
      </c>
      <c r="B89" s="1" t="n">
        <v>44732</v>
      </c>
      <c r="C89" s="1" t="n">
        <v>45363</v>
      </c>
      <c r="D89" t="inlineStr">
        <is>
          <t>SKÅNE LÄN</t>
        </is>
      </c>
      <c r="E89" t="inlineStr">
        <is>
          <t>SVALÖV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30657-2022</t>
        </is>
      </c>
      <c r="B90" s="1" t="n">
        <v>44763</v>
      </c>
      <c r="C90" s="1" t="n">
        <v>45363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37354-2022</t>
        </is>
      </c>
      <c r="B91" s="1" t="n">
        <v>44806</v>
      </c>
      <c r="C91" s="1" t="n">
        <v>45363</v>
      </c>
      <c r="D91" t="inlineStr">
        <is>
          <t>SKÅNE LÄN</t>
        </is>
      </c>
      <c r="E91" t="inlineStr">
        <is>
          <t>SVALÖV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42617-2022</t>
        </is>
      </c>
      <c r="B92" s="1" t="n">
        <v>44831</v>
      </c>
      <c r="C92" s="1" t="n">
        <v>45363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46232-2022</t>
        </is>
      </c>
      <c r="B93" s="1" t="n">
        <v>44847</v>
      </c>
      <c r="C93" s="1" t="n">
        <v>45363</v>
      </c>
      <c r="D93" t="inlineStr">
        <is>
          <t>SKÅNE LÄN</t>
        </is>
      </c>
      <c r="E93" t="inlineStr">
        <is>
          <t>SVALÖV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46254-2022</t>
        </is>
      </c>
      <c r="B94" s="1" t="n">
        <v>44847</v>
      </c>
      <c r="C94" s="1" t="n">
        <v>45363</v>
      </c>
      <c r="D94" t="inlineStr">
        <is>
          <t>SKÅNE LÄN</t>
        </is>
      </c>
      <c r="E94" t="inlineStr">
        <is>
          <t>SVALÖV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47717-2022</t>
        </is>
      </c>
      <c r="B95" s="1" t="n">
        <v>44854</v>
      </c>
      <c r="C95" s="1" t="n">
        <v>45363</v>
      </c>
      <c r="D95" t="inlineStr">
        <is>
          <t>SKÅNE LÄN</t>
        </is>
      </c>
      <c r="E95" t="inlineStr">
        <is>
          <t>SVALÖV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49032-2022</t>
        </is>
      </c>
      <c r="B96" s="1" t="n">
        <v>44860</v>
      </c>
      <c r="C96" s="1" t="n">
        <v>45363</v>
      </c>
      <c r="D96" t="inlineStr">
        <is>
          <t>SKÅNE LÄN</t>
        </is>
      </c>
      <c r="E96" t="inlineStr">
        <is>
          <t>SVALÖV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61620-2022</t>
        </is>
      </c>
      <c r="B97" s="1" t="n">
        <v>44910</v>
      </c>
      <c r="C97" s="1" t="n">
        <v>45363</v>
      </c>
      <c r="D97" t="inlineStr">
        <is>
          <t>SKÅNE LÄN</t>
        </is>
      </c>
      <c r="E97" t="inlineStr">
        <is>
          <t>SVALÖV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62403-2022</t>
        </is>
      </c>
      <c r="B98" s="1" t="n">
        <v>44923</v>
      </c>
      <c r="C98" s="1" t="n">
        <v>45363</v>
      </c>
      <c r="D98" t="inlineStr">
        <is>
          <t>SKÅNE LÄN</t>
        </is>
      </c>
      <c r="E98" t="inlineStr">
        <is>
          <t>SVALÖV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497-2023</t>
        </is>
      </c>
      <c r="B99" s="1" t="n">
        <v>44930</v>
      </c>
      <c r="C99" s="1" t="n">
        <v>45363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4838-2023</t>
        </is>
      </c>
      <c r="B100" s="1" t="n">
        <v>44957</v>
      </c>
      <c r="C100" s="1" t="n">
        <v>45363</v>
      </c>
      <c r="D100" t="inlineStr">
        <is>
          <t>SKÅNE LÄN</t>
        </is>
      </c>
      <c r="E100" t="inlineStr">
        <is>
          <t>SVALÖV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8924-2023</t>
        </is>
      </c>
      <c r="B101" s="1" t="n">
        <v>44974</v>
      </c>
      <c r="C101" s="1" t="n">
        <v>45363</v>
      </c>
      <c r="D101" t="inlineStr">
        <is>
          <t>SKÅNE LÄN</t>
        </is>
      </c>
      <c r="E101" t="inlineStr">
        <is>
          <t>SVALÖV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8925-2023</t>
        </is>
      </c>
      <c r="B102" s="1" t="n">
        <v>44974</v>
      </c>
      <c r="C102" s="1" t="n">
        <v>45363</v>
      </c>
      <c r="D102" t="inlineStr">
        <is>
          <t>SKÅNE LÄN</t>
        </is>
      </c>
      <c r="E102" t="inlineStr">
        <is>
          <t>SVALÖV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10209-2023</t>
        </is>
      </c>
      <c r="B103" s="1" t="n">
        <v>44986</v>
      </c>
      <c r="C103" s="1" t="n">
        <v>45363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11101-2023</t>
        </is>
      </c>
      <c r="B104" s="1" t="n">
        <v>44986</v>
      </c>
      <c r="C104" s="1" t="n">
        <v>45363</v>
      </c>
      <c r="D104" t="inlineStr">
        <is>
          <t>SKÅNE LÄN</t>
        </is>
      </c>
      <c r="E104" t="inlineStr">
        <is>
          <t>SVALÖV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11177-2023</t>
        </is>
      </c>
      <c r="B105" s="1" t="n">
        <v>44987</v>
      </c>
      <c r="C105" s="1" t="n">
        <v>45363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11491-2023</t>
        </is>
      </c>
      <c r="B106" s="1" t="n">
        <v>44991</v>
      </c>
      <c r="C106" s="1" t="n">
        <v>45363</v>
      </c>
      <c r="D106" t="inlineStr">
        <is>
          <t>SKÅNE LÄN</t>
        </is>
      </c>
      <c r="E106" t="inlineStr">
        <is>
          <t>SVALÖV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11922-2023</t>
        </is>
      </c>
      <c r="B107" s="1" t="n">
        <v>44993</v>
      </c>
      <c r="C107" s="1" t="n">
        <v>45363</v>
      </c>
      <c r="D107" t="inlineStr">
        <is>
          <t>SKÅNE LÄN</t>
        </is>
      </c>
      <c r="E107" t="inlineStr">
        <is>
          <t>SVALÖV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12623-2023</t>
        </is>
      </c>
      <c r="B108" s="1" t="n">
        <v>44999</v>
      </c>
      <c r="C108" s="1" t="n">
        <v>45363</v>
      </c>
      <c r="D108" t="inlineStr">
        <is>
          <t>SKÅNE LÄN</t>
        </is>
      </c>
      <c r="E108" t="inlineStr">
        <is>
          <t>SVALÖV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15161-2023</t>
        </is>
      </c>
      <c r="B109" s="1" t="n">
        <v>45016</v>
      </c>
      <c r="C109" s="1" t="n">
        <v>45363</v>
      </c>
      <c r="D109" t="inlineStr">
        <is>
          <t>SKÅNE LÄN</t>
        </is>
      </c>
      <c r="E109" t="inlineStr">
        <is>
          <t>SVALÖV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15157-2023</t>
        </is>
      </c>
      <c r="B110" s="1" t="n">
        <v>45016</v>
      </c>
      <c r="C110" s="1" t="n">
        <v>45363</v>
      </c>
      <c r="D110" t="inlineStr">
        <is>
          <t>SKÅNE LÄN</t>
        </is>
      </c>
      <c r="E110" t="inlineStr">
        <is>
          <t>SVALÖV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16667-2023</t>
        </is>
      </c>
      <c r="B111" s="1" t="n">
        <v>45030</v>
      </c>
      <c r="C111" s="1" t="n">
        <v>45363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22262-2023</t>
        </is>
      </c>
      <c r="B112" s="1" t="n">
        <v>45070</v>
      </c>
      <c r="C112" s="1" t="n">
        <v>45363</v>
      </c>
      <c r="D112" t="inlineStr">
        <is>
          <t>SKÅNE LÄN</t>
        </is>
      </c>
      <c r="E112" t="inlineStr">
        <is>
          <t>SVALÖV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22789-2023</t>
        </is>
      </c>
      <c r="B113" s="1" t="n">
        <v>45072</v>
      </c>
      <c r="C113" s="1" t="n">
        <v>45363</v>
      </c>
      <c r="D113" t="inlineStr">
        <is>
          <t>SKÅNE LÄN</t>
        </is>
      </c>
      <c r="E113" t="inlineStr">
        <is>
          <t>SVALÖV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26519-2023</t>
        </is>
      </c>
      <c r="B114" s="1" t="n">
        <v>45092</v>
      </c>
      <c r="C114" s="1" t="n">
        <v>45363</v>
      </c>
      <c r="D114" t="inlineStr">
        <is>
          <t>SKÅNE LÄN</t>
        </is>
      </c>
      <c r="E114" t="inlineStr">
        <is>
          <t>SVALÖV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27310-2023</t>
        </is>
      </c>
      <c r="B115" s="1" t="n">
        <v>45096</v>
      </c>
      <c r="C115" s="1" t="n">
        <v>45363</v>
      </c>
      <c r="D115" t="inlineStr">
        <is>
          <t>SKÅNE LÄN</t>
        </is>
      </c>
      <c r="E115" t="inlineStr">
        <is>
          <t>SVALÖV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27453-2023</t>
        </is>
      </c>
      <c r="B116" s="1" t="n">
        <v>45097</v>
      </c>
      <c r="C116" s="1" t="n">
        <v>45363</v>
      </c>
      <c r="D116" t="inlineStr">
        <is>
          <t>SKÅNE LÄN</t>
        </is>
      </c>
      <c r="E116" t="inlineStr">
        <is>
          <t>SVALÖV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32620-2023</t>
        </is>
      </c>
      <c r="B117" s="1" t="n">
        <v>45111</v>
      </c>
      <c r="C117" s="1" t="n">
        <v>45363</v>
      </c>
      <c r="D117" t="inlineStr">
        <is>
          <t>SKÅNE LÄN</t>
        </is>
      </c>
      <c r="E117" t="inlineStr">
        <is>
          <t>SVALÖV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34810-2023</t>
        </is>
      </c>
      <c r="B118" s="1" t="n">
        <v>45141</v>
      </c>
      <c r="C118" s="1" t="n">
        <v>45363</v>
      </c>
      <c r="D118" t="inlineStr">
        <is>
          <t>SKÅNE LÄN</t>
        </is>
      </c>
      <c r="E118" t="inlineStr">
        <is>
          <t>SVALÖV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34813-2023</t>
        </is>
      </c>
      <c r="B119" s="1" t="n">
        <v>45141</v>
      </c>
      <c r="C119" s="1" t="n">
        <v>45363</v>
      </c>
      <c r="D119" t="inlineStr">
        <is>
          <t>SKÅNE LÄN</t>
        </is>
      </c>
      <c r="E119" t="inlineStr">
        <is>
          <t>SVALÖV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35911-2023</t>
        </is>
      </c>
      <c r="B120" s="1" t="n">
        <v>45148</v>
      </c>
      <c r="C120" s="1" t="n">
        <v>45363</v>
      </c>
      <c r="D120" t="inlineStr">
        <is>
          <t>SKÅNE LÄN</t>
        </is>
      </c>
      <c r="E120" t="inlineStr">
        <is>
          <t>SVALÖV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38018-2023</t>
        </is>
      </c>
      <c r="B121" s="1" t="n">
        <v>45160</v>
      </c>
      <c r="C121" s="1" t="n">
        <v>45363</v>
      </c>
      <c r="D121" t="inlineStr">
        <is>
          <t>SKÅNE LÄN</t>
        </is>
      </c>
      <c r="E121" t="inlineStr">
        <is>
          <t>SVALÖV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38006-2023</t>
        </is>
      </c>
      <c r="B122" s="1" t="n">
        <v>45160</v>
      </c>
      <c r="C122" s="1" t="n">
        <v>45363</v>
      </c>
      <c r="D122" t="inlineStr">
        <is>
          <t>SKÅNE LÄN</t>
        </is>
      </c>
      <c r="E122" t="inlineStr">
        <is>
          <t>SVALÖV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42588-2023</t>
        </is>
      </c>
      <c r="B123" s="1" t="n">
        <v>45176</v>
      </c>
      <c r="C123" s="1" t="n">
        <v>45363</v>
      </c>
      <c r="D123" t="inlineStr">
        <is>
          <t>SKÅNE LÄN</t>
        </is>
      </c>
      <c r="E123" t="inlineStr">
        <is>
          <t>SVALÖV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43736-2023</t>
        </is>
      </c>
      <c r="B124" s="1" t="n">
        <v>45182</v>
      </c>
      <c r="C124" s="1" t="n">
        <v>45363</v>
      </c>
      <c r="D124" t="inlineStr">
        <is>
          <t>SKÅNE LÄN</t>
        </is>
      </c>
      <c r="E124" t="inlineStr">
        <is>
          <t>SVALÖV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44112-2023</t>
        </is>
      </c>
      <c r="B125" s="1" t="n">
        <v>45188</v>
      </c>
      <c r="C125" s="1" t="n">
        <v>45363</v>
      </c>
      <c r="D125" t="inlineStr">
        <is>
          <t>SKÅNE LÄN</t>
        </is>
      </c>
      <c r="E125" t="inlineStr">
        <is>
          <t>SVALÖV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44107-2023</t>
        </is>
      </c>
      <c r="B126" s="1" t="n">
        <v>45188</v>
      </c>
      <c r="C126" s="1" t="n">
        <v>45363</v>
      </c>
      <c r="D126" t="inlineStr">
        <is>
          <t>SKÅNE LÄN</t>
        </is>
      </c>
      <c r="E126" t="inlineStr">
        <is>
          <t>SVALÖV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44434-2023</t>
        </is>
      </c>
      <c r="B127" s="1" t="n">
        <v>45189</v>
      </c>
      <c r="C127" s="1" t="n">
        <v>45363</v>
      </c>
      <c r="D127" t="inlineStr">
        <is>
          <t>SKÅNE LÄN</t>
        </is>
      </c>
      <c r="E127" t="inlineStr">
        <is>
          <t>SVALÖV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44603-2023</t>
        </is>
      </c>
      <c r="B128" s="1" t="n">
        <v>45189</v>
      </c>
      <c r="C128" s="1" t="n">
        <v>45363</v>
      </c>
      <c r="D128" t="inlineStr">
        <is>
          <t>SKÅNE LÄN</t>
        </is>
      </c>
      <c r="E128" t="inlineStr">
        <is>
          <t>SVALÖV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52664-2023</t>
        </is>
      </c>
      <c r="B129" s="1" t="n">
        <v>45225</v>
      </c>
      <c r="C129" s="1" t="n">
        <v>45363</v>
      </c>
      <c r="D129" t="inlineStr">
        <is>
          <t>SKÅNE LÄN</t>
        </is>
      </c>
      <c r="E129" t="inlineStr">
        <is>
          <t>SVALÖV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53587-2023</t>
        </is>
      </c>
      <c r="B130" s="1" t="n">
        <v>45230</v>
      </c>
      <c r="C130" s="1" t="n">
        <v>45363</v>
      </c>
      <c r="D130" t="inlineStr">
        <is>
          <t>SKÅNE LÄN</t>
        </is>
      </c>
      <c r="E130" t="inlineStr">
        <is>
          <t>SVALÖV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61030-2023</t>
        </is>
      </c>
      <c r="B131" s="1" t="n">
        <v>45261</v>
      </c>
      <c r="C131" s="1" t="n">
        <v>45363</v>
      </c>
      <c r="D131" t="inlineStr">
        <is>
          <t>SKÅNE LÄN</t>
        </is>
      </c>
      <c r="E131" t="inlineStr">
        <is>
          <t>SVALÖV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61014-2023</t>
        </is>
      </c>
      <c r="B132" s="1" t="n">
        <v>45261</v>
      </c>
      <c r="C132" s="1" t="n">
        <v>45363</v>
      </c>
      <c r="D132" t="inlineStr">
        <is>
          <t>SKÅNE LÄN</t>
        </is>
      </c>
      <c r="E132" t="inlineStr">
        <is>
          <t>SVALÖV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61373-2023</t>
        </is>
      </c>
      <c r="B133" s="1" t="n">
        <v>45264</v>
      </c>
      <c r="C133" s="1" t="n">
        <v>45363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1592-2024</t>
        </is>
      </c>
      <c r="B134" s="1" t="n">
        <v>45306</v>
      </c>
      <c r="C134" s="1" t="n">
        <v>45363</v>
      </c>
      <c r="D134" t="inlineStr">
        <is>
          <t>SKÅNE LÄN</t>
        </is>
      </c>
      <c r="E134" t="inlineStr">
        <is>
          <t>SVALÖV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2139-2024</t>
        </is>
      </c>
      <c r="B135" s="1" t="n">
        <v>45309</v>
      </c>
      <c r="C135" s="1" t="n">
        <v>45363</v>
      </c>
      <c r="D135" t="inlineStr">
        <is>
          <t>SKÅNE LÄN</t>
        </is>
      </c>
      <c r="E135" t="inlineStr">
        <is>
          <t>SVALÖV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5167-2024</t>
        </is>
      </c>
      <c r="B136" s="1" t="n">
        <v>45330</v>
      </c>
      <c r="C136" s="1" t="n">
        <v>45363</v>
      </c>
      <c r="D136" t="inlineStr">
        <is>
          <t>SKÅNE LÄN</t>
        </is>
      </c>
      <c r="E136" t="inlineStr">
        <is>
          <t>SVALÖV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5184-2024</t>
        </is>
      </c>
      <c r="B137" s="1" t="n">
        <v>45330</v>
      </c>
      <c r="C137" s="1" t="n">
        <v>45363</v>
      </c>
      <c r="D137" t="inlineStr">
        <is>
          <t>SKÅNE LÄN</t>
        </is>
      </c>
      <c r="E137" t="inlineStr">
        <is>
          <t>SVALÖV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5190-2024</t>
        </is>
      </c>
      <c r="B138" s="1" t="n">
        <v>45330</v>
      </c>
      <c r="C138" s="1" t="n">
        <v>45363</v>
      </c>
      <c r="D138" t="inlineStr">
        <is>
          <t>SKÅNE LÄN</t>
        </is>
      </c>
      <c r="E138" t="inlineStr">
        <is>
          <t>SVALÖV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5718-2024</t>
        </is>
      </c>
      <c r="B139" s="1" t="n">
        <v>45334</v>
      </c>
      <c r="C139" s="1" t="n">
        <v>45363</v>
      </c>
      <c r="D139" t="inlineStr">
        <is>
          <t>SKÅNE LÄN</t>
        </is>
      </c>
      <c r="E139" t="inlineStr">
        <is>
          <t>SVALÖV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7559-2024</t>
        </is>
      </c>
      <c r="B140" s="1" t="n">
        <v>45348</v>
      </c>
      <c r="C140" s="1" t="n">
        <v>45363</v>
      </c>
      <c r="D140" t="inlineStr">
        <is>
          <t>SKÅNE LÄN</t>
        </is>
      </c>
      <c r="E140" t="inlineStr">
        <is>
          <t>SVALÖV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7542-2024</t>
        </is>
      </c>
      <c r="B141" s="1" t="n">
        <v>45348</v>
      </c>
      <c r="C141" s="1" t="n">
        <v>45363</v>
      </c>
      <c r="D141" t="inlineStr">
        <is>
          <t>SKÅNE LÄN</t>
        </is>
      </c>
      <c r="E141" t="inlineStr">
        <is>
          <t>SVALÖV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2024-03-12T13:58:58Z</dcterms:created>
  <dcterms:modified xmlns:dcterms="http://purl.org/dc/terms/" xmlns:xsi="http://www.w3.org/2001/XMLSchema-instance" xsi:type="dcterms:W3CDTF">2024-03-12T13:58:58Z</dcterms:modified>
</cp:coreProperties>
</file>