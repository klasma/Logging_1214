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46200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46200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46200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46200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46200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46200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46200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46200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46200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s="1" t="n">
        <v>45373</v>
      </c>
      <c r="C13" s="1" t="n">
        <v>46200</v>
      </c>
      <c r="D13" t="inlineStr">
        <is>
          <t>SKÅNE LÄN</t>
        </is>
      </c>
      <c r="E13" t="inlineStr">
        <is>
          <t>SVALÖV</t>
        </is>
      </c>
      <c r="G13" t="n">
        <v>13.9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Skogsveronika</t>
        </is>
      </c>
      <c r="S13">
        <f>HYPERLINK("https://klasma.github.io/Logging_1214/artfynd/A 11672-2024 artfynd.xlsx", "A 11672-2024")</f>
        <v/>
      </c>
      <c r="T13">
        <f>HYPERLINK("https://klasma.github.io/Logging_1214/kartor/A 11672-2024 karta.png", "A 11672-2024")</f>
        <v/>
      </c>
      <c r="V13">
        <f>HYPERLINK("https://klasma.github.io/Logging_1214/klagomål/A 11672-2024 FSC-klagomål.docx", "A 11672-2024")</f>
        <v/>
      </c>
      <c r="W13">
        <f>HYPERLINK("https://klasma.github.io/Logging_1214/klagomålsmail/A 11672-2024 FSC-klagomål mail.docx", "A 11672-2024")</f>
        <v/>
      </c>
      <c r="X13">
        <f>HYPERLINK("https://klasma.github.io/Logging_1214/tillsyn/A 11672-2024 tillsynsbegäran.docx", "A 11672-2024")</f>
        <v/>
      </c>
      <c r="Y13">
        <f>HYPERLINK("https://klasma.github.io/Logging_1214/tillsynsmail/A 11672-2024 tillsynsbegäran mail.docx", "A 11672-2024")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46200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46200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</v>
      </c>
      <c r="C20" s="1" t="n">
        <v>46200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</v>
      </c>
      <c r="C21" s="1" t="n">
        <v>46200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8332-2025</t>
        </is>
      </c>
      <c r="B22" s="1" t="n">
        <v>45708</v>
      </c>
      <c r="C22" s="1" t="n">
        <v>46200</v>
      </c>
      <c r="D22" t="inlineStr">
        <is>
          <t>SKÅNE LÄN</t>
        </is>
      </c>
      <c r="E22" t="inlineStr">
        <is>
          <t>SVALÖV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44112-2023</t>
        </is>
      </c>
      <c r="B23" s="1" t="n">
        <v>45188</v>
      </c>
      <c r="C23" s="1" t="n">
        <v>46200</v>
      </c>
      <c r="D23" t="inlineStr">
        <is>
          <t>SKÅNE LÄN</t>
        </is>
      </c>
      <c r="E23" t="inlineStr">
        <is>
          <t>SVALÖV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</v>
      </c>
      <c r="C24" s="1" t="n">
        <v>46200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11491-2023</t>
        </is>
      </c>
      <c r="B25" s="1" t="n">
        <v>44991</v>
      </c>
      <c r="C25" s="1" t="n">
        <v>46200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</v>
      </c>
      <c r="C26" s="1" t="n">
        <v>46200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11922-2023</t>
        </is>
      </c>
      <c r="B27" s="1" t="n">
        <v>44993</v>
      </c>
      <c r="C27" s="1" t="n">
        <v>46200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46200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46200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46200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46200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4964-2022</t>
        </is>
      </c>
      <c r="B32" s="1" t="n">
        <v>44593</v>
      </c>
      <c r="C32" s="1" t="n">
        <v>46200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37354-2022</t>
        </is>
      </c>
      <c r="B33" s="1" t="n">
        <v>44806</v>
      </c>
      <c r="C33" s="1" t="n">
        <v>46200</v>
      </c>
      <c r="D33" t="inlineStr">
        <is>
          <t>SKÅNE LÄN</t>
        </is>
      </c>
      <c r="E33" t="inlineStr">
        <is>
          <t>SVALÖV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</v>
      </c>
      <c r="C34" s="1" t="n">
        <v>46200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</v>
      </c>
      <c r="C35" s="1" t="n">
        <v>46200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46200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46200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8924-2023</t>
        </is>
      </c>
      <c r="B38" s="1" t="n">
        <v>44974</v>
      </c>
      <c r="C38" s="1" t="n">
        <v>46200</v>
      </c>
      <c r="D38" t="inlineStr">
        <is>
          <t>SKÅNE LÄN</t>
        </is>
      </c>
      <c r="E38" t="inlineStr">
        <is>
          <t>SVALÖV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497-2023</t>
        </is>
      </c>
      <c r="B39" s="1" t="n">
        <v>44930</v>
      </c>
      <c r="C39" s="1" t="n">
        <v>46200</v>
      </c>
      <c r="D39" t="inlineStr">
        <is>
          <t>SKÅNE LÄN</t>
        </is>
      </c>
      <c r="E39" t="inlineStr">
        <is>
          <t>SVALÖV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11633-2024</t>
        </is>
      </c>
      <c r="B40" s="1" t="n">
        <v>45373</v>
      </c>
      <c r="C40" s="1" t="n">
        <v>46200</v>
      </c>
      <c r="D40" t="inlineStr">
        <is>
          <t>SKÅNE LÄN</t>
        </is>
      </c>
      <c r="E40" t="inlineStr">
        <is>
          <t>SVALÖV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46200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46200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46200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</v>
      </c>
      <c r="C44" s="1" t="n">
        <v>46200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46200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32620-2023</t>
        </is>
      </c>
      <c r="B46" s="1" t="n">
        <v>45111</v>
      </c>
      <c r="C46" s="1" t="n">
        <v>46200</v>
      </c>
      <c r="D46" t="inlineStr">
        <is>
          <t>SKÅNE LÄN</t>
        </is>
      </c>
      <c r="E46" t="inlineStr">
        <is>
          <t>SVALÖV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5184-2024</t>
        </is>
      </c>
      <c r="B47" s="1" t="n">
        <v>45330</v>
      </c>
      <c r="C47" s="1" t="n">
        <v>46200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</v>
      </c>
      <c r="C48" s="1" t="n">
        <v>46200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17731-2025</t>
        </is>
      </c>
      <c r="B49" s="1" t="n">
        <v>45758</v>
      </c>
      <c r="C49" s="1" t="n">
        <v>46200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44107-2023</t>
        </is>
      </c>
      <c r="B50" s="1" t="n">
        <v>45188</v>
      </c>
      <c r="C50" s="1" t="n">
        <v>46200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46200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1920-2025</t>
        </is>
      </c>
      <c r="B52" s="1" t="n">
        <v>45671</v>
      </c>
      <c r="C52" s="1" t="n">
        <v>46200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13273-2024</t>
        </is>
      </c>
      <c r="B53" s="1" t="n">
        <v>45386</v>
      </c>
      <c r="C53" s="1" t="n">
        <v>46200</v>
      </c>
      <c r="D53" t="inlineStr">
        <is>
          <t>SKÅNE LÄN</t>
        </is>
      </c>
      <c r="E53" t="inlineStr">
        <is>
          <t>SVALÖV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20170-2024</t>
        </is>
      </c>
      <c r="B54" s="1" t="n">
        <v>45434</v>
      </c>
      <c r="C54" s="1" t="n">
        <v>46200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10196-2025</t>
        </is>
      </c>
      <c r="B55" s="1" t="n">
        <v>45719</v>
      </c>
      <c r="C55" s="1" t="n">
        <v>46200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</v>
      </c>
      <c r="C56" s="1" t="n">
        <v>46200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</v>
      </c>
      <c r="C57" s="1" t="n">
        <v>46200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46200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4149-2022</t>
        </is>
      </c>
      <c r="B59" s="1" t="n">
        <v>44588</v>
      </c>
      <c r="C59" s="1" t="n">
        <v>46200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17980-2025</t>
        </is>
      </c>
      <c r="B60" s="1" t="n">
        <v>45761</v>
      </c>
      <c r="C60" s="1" t="n">
        <v>46200</v>
      </c>
      <c r="D60" t="inlineStr">
        <is>
          <t>SKÅNE LÄN</t>
        </is>
      </c>
      <c r="E60" t="inlineStr">
        <is>
          <t>SVALÖV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18121-2025</t>
        </is>
      </c>
      <c r="B61" s="1" t="n">
        <v>45761</v>
      </c>
      <c r="C61" s="1" t="n">
        <v>46200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16215-2022</t>
        </is>
      </c>
      <c r="B62" s="1" t="n">
        <v>44670</v>
      </c>
      <c r="C62" s="1" t="n">
        <v>46200</v>
      </c>
      <c r="D62" t="inlineStr">
        <is>
          <t>SKÅNE LÄN</t>
        </is>
      </c>
      <c r="E62" t="inlineStr">
        <is>
          <t>SVALÖV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</v>
      </c>
      <c r="C63" s="1" t="n">
        <v>46200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46200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13245-2024</t>
        </is>
      </c>
      <c r="B65" s="1" t="n">
        <v>45386</v>
      </c>
      <c r="C65" s="1" t="n">
        <v>46200</v>
      </c>
      <c r="D65" t="inlineStr">
        <is>
          <t>SKÅNE LÄN</t>
        </is>
      </c>
      <c r="E65" t="inlineStr">
        <is>
          <t>SVALÖV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34859-2021</t>
        </is>
      </c>
      <c r="B66" s="1" t="n">
        <v>44382</v>
      </c>
      <c r="C66" s="1" t="n">
        <v>46200</v>
      </c>
      <c r="D66" t="inlineStr">
        <is>
          <t>SKÅNE LÄN</t>
        </is>
      </c>
      <c r="E66" t="inlineStr">
        <is>
          <t>SVALÖV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46200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40470-2025</t>
        </is>
      </c>
      <c r="B68" s="1" t="n">
        <v>45895</v>
      </c>
      <c r="C68" s="1" t="n">
        <v>46200</v>
      </c>
      <c r="D68" t="inlineStr">
        <is>
          <t>SKÅNE LÄN</t>
        </is>
      </c>
      <c r="E68" t="inlineStr">
        <is>
          <t>SVALÖV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21814-2025</t>
        </is>
      </c>
      <c r="B69" s="1" t="n">
        <v>45783</v>
      </c>
      <c r="C69" s="1" t="n">
        <v>46200</v>
      </c>
      <c r="D69" t="inlineStr">
        <is>
          <t>SKÅNE LÄN</t>
        </is>
      </c>
      <c r="E69" t="inlineStr">
        <is>
          <t>SVALÖV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21507-2025</t>
        </is>
      </c>
      <c r="B70" s="1" t="n">
        <v>45782</v>
      </c>
      <c r="C70" s="1" t="n">
        <v>46200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21541-2025</t>
        </is>
      </c>
      <c r="B71" s="1" t="n">
        <v>45782</v>
      </c>
      <c r="C71" s="1" t="n">
        <v>46200</v>
      </c>
      <c r="D71" t="inlineStr">
        <is>
          <t>SKÅNE LÄN</t>
        </is>
      </c>
      <c r="E71" t="inlineStr">
        <is>
          <t>SVALÖV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38394-2025</t>
        </is>
      </c>
      <c r="B72" s="1" t="n">
        <v>45883</v>
      </c>
      <c r="C72" s="1" t="n">
        <v>46200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21556-2025</t>
        </is>
      </c>
      <c r="B73" s="1" t="n">
        <v>45782</v>
      </c>
      <c r="C73" s="1" t="n">
        <v>46200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61620-2022</t>
        </is>
      </c>
      <c r="B74" s="1" t="n">
        <v>44910</v>
      </c>
      <c r="C74" s="1" t="n">
        <v>46200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46200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46200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21774-2024</t>
        </is>
      </c>
      <c r="B77" s="1" t="n">
        <v>45442</v>
      </c>
      <c r="C77" s="1" t="n">
        <v>46200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46200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20047-2024</t>
        </is>
      </c>
      <c r="B79" s="1" t="n">
        <v>45434</v>
      </c>
      <c r="C79" s="1" t="n">
        <v>46200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34808-2024</t>
        </is>
      </c>
      <c r="B80" s="1" t="n">
        <v>45526</v>
      </c>
      <c r="C80" s="1" t="n">
        <v>46200</v>
      </c>
      <c r="D80" t="inlineStr">
        <is>
          <t>SKÅNE LÄN</t>
        </is>
      </c>
      <c r="E80" t="inlineStr">
        <is>
          <t>SVALÖV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42706-2025</t>
        </is>
      </c>
      <c r="B81" s="1" t="n">
        <v>45908</v>
      </c>
      <c r="C81" s="1" t="n">
        <v>46200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46200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46200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46200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43425-2025</t>
        </is>
      </c>
      <c r="B85" s="1" t="n">
        <v>45911</v>
      </c>
      <c r="C85" s="1" t="n">
        <v>46200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46200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23747-2025</t>
        </is>
      </c>
      <c r="B87" s="1" t="n">
        <v>45793</v>
      </c>
      <c r="C87" s="1" t="n">
        <v>46200</v>
      </c>
      <c r="D87" t="inlineStr">
        <is>
          <t>SKÅNE LÄN</t>
        </is>
      </c>
      <c r="E87" t="inlineStr">
        <is>
          <t>SVALÖV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43294-2025</t>
        </is>
      </c>
      <c r="B88" s="1" t="n">
        <v>45910</v>
      </c>
      <c r="C88" s="1" t="n">
        <v>46200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47139-2025</t>
        </is>
      </c>
      <c r="B89" s="1" t="n">
        <v>45929</v>
      </c>
      <c r="C89" s="1" t="n">
        <v>46200</v>
      </c>
      <c r="D89" t="inlineStr">
        <is>
          <t>SKÅNE LÄN</t>
        </is>
      </c>
      <c r="E89" t="inlineStr">
        <is>
          <t>SVALÖV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24513-2025</t>
        </is>
      </c>
      <c r="B90" s="1" t="n">
        <v>45798</v>
      </c>
      <c r="C90" s="1" t="n">
        <v>46200</v>
      </c>
      <c r="D90" t="inlineStr">
        <is>
          <t>SKÅNE LÄN</t>
        </is>
      </c>
      <c r="E90" t="inlineStr">
        <is>
          <t>SVALÖV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58970-2025</t>
        </is>
      </c>
      <c r="B91" s="1" t="n">
        <v>45987</v>
      </c>
      <c r="C91" s="1" t="n">
        <v>46200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59230-2025</t>
        </is>
      </c>
      <c r="B92" s="1" t="n">
        <v>45988</v>
      </c>
      <c r="C92" s="1" t="n">
        <v>46200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43466-2025</t>
        </is>
      </c>
      <c r="B93" s="1" t="n">
        <v>45911</v>
      </c>
      <c r="C93" s="1" t="n">
        <v>46200</v>
      </c>
      <c r="D93" t="inlineStr">
        <is>
          <t>SKÅNE LÄN</t>
        </is>
      </c>
      <c r="E93" t="inlineStr">
        <is>
          <t>SVALÖV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46200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43004-2025</t>
        </is>
      </c>
      <c r="B95" s="1" t="n">
        <v>45909</v>
      </c>
      <c r="C95" s="1" t="n">
        <v>46200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5068-2026</t>
        </is>
      </c>
      <c r="B96" s="1" t="n">
        <v>46049</v>
      </c>
      <c r="C96" s="1" t="n">
        <v>46200</v>
      </c>
      <c r="D96" t="inlineStr">
        <is>
          <t>SKÅNE LÄN</t>
        </is>
      </c>
      <c r="E96" t="inlineStr">
        <is>
          <t>SVALÖV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59266-2025</t>
        </is>
      </c>
      <c r="B97" s="1" t="n">
        <v>45988</v>
      </c>
      <c r="C97" s="1" t="n">
        <v>46200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6365-2026</t>
        </is>
      </c>
      <c r="B98" s="1" t="n">
        <v>46051</v>
      </c>
      <c r="C98" s="1" t="n">
        <v>46200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14533-2026</t>
        </is>
      </c>
      <c r="B99" s="1" t="n">
        <v>46100</v>
      </c>
      <c r="C99" s="1" t="n">
        <v>46200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13787-2026</t>
        </is>
      </c>
      <c r="B100" s="1" t="n">
        <v>46097</v>
      </c>
      <c r="C100" s="1" t="n">
        <v>46200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13791-2026</t>
        </is>
      </c>
      <c r="B101" s="1" t="n">
        <v>46097</v>
      </c>
      <c r="C101" s="1" t="n">
        <v>46200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15747-2026</t>
        </is>
      </c>
      <c r="B102" s="1" t="n">
        <v>46107</v>
      </c>
      <c r="C102" s="1" t="n">
        <v>46200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3430-2026</t>
        </is>
      </c>
      <c r="B103" s="1" t="n">
        <v>46042</v>
      </c>
      <c r="C103" s="1" t="n">
        <v>46200</v>
      </c>
      <c r="D103" t="inlineStr">
        <is>
          <t>SKÅNE LÄN</t>
        </is>
      </c>
      <c r="E103" t="inlineStr">
        <is>
          <t>SVALÖV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24286-2026</t>
        </is>
      </c>
      <c r="B104" s="1" t="n">
        <v>46169</v>
      </c>
      <c r="C104" s="1" t="n">
        <v>46200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18926-2026</t>
        </is>
      </c>
      <c r="B105" s="1" t="n">
        <v>46127</v>
      </c>
      <c r="C105" s="1" t="n">
        <v>46200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25522-2026</t>
        </is>
      </c>
      <c r="B106" s="1" t="n">
        <v>46177</v>
      </c>
      <c r="C106" s="1" t="n">
        <v>46200</v>
      </c>
      <c r="D106" t="inlineStr">
        <is>
          <t>SKÅNE LÄN</t>
        </is>
      </c>
      <c r="E106" t="inlineStr">
        <is>
          <t>SVALÖV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46200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</v>
      </c>
      <c r="C108" s="1" t="n">
        <v>46200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27380-2026</t>
        </is>
      </c>
      <c r="B109" s="1" t="n">
        <v>46189</v>
      </c>
      <c r="C109" s="1" t="n">
        <v>46200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18438-2026</t>
        </is>
      </c>
      <c r="B110" s="1" t="n">
        <v>46127</v>
      </c>
      <c r="C110" s="1" t="n">
        <v>46200</v>
      </c>
      <c r="D110" t="inlineStr">
        <is>
          <t>SKÅNE LÄN</t>
        </is>
      </c>
      <c r="E110" t="inlineStr">
        <is>
          <t>SVALÖV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18375-2026</t>
        </is>
      </c>
      <c r="B111" s="1" t="n">
        <v>46126</v>
      </c>
      <c r="C111" s="1" t="n">
        <v>46200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25832-2026</t>
        </is>
      </c>
      <c r="B112" s="1" t="n">
        <v>46178</v>
      </c>
      <c r="C112" s="1" t="n">
        <v>46200</v>
      </c>
      <c r="D112" t="inlineStr">
        <is>
          <t>SKÅNE LÄN</t>
        </is>
      </c>
      <c r="E112" t="inlineStr">
        <is>
          <t>SVALÖV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2026-06-27T00:56:30Z</dcterms:created>
  <dcterms:modified xmlns:dcterms="http://purl.org/dc/terms/" xmlns:xsi="http://www.w3.org/2001/XMLSchema-instance" xsi:type="dcterms:W3CDTF">2026-06-27T00:56:30Z</dcterms:modified>
</cp:coreProperties>
</file>