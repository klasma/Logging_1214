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46292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46292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46292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61064-2024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45645</v>
      </c>
      <c r="E5" s="1" t="n">
        <v>46292</v>
      </c>
      <c r="F5" t="inlineStr">
        <is>
          <t>SKÅNE LÄN</t>
        </is>
      </c>
      <c r="G5" t="inlineStr">
        <is>
          <t>SVALÖV</t>
        </is>
      </c>
      <c r="I5" t="n">
        <v>5.6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Ask
Skogsknipprot</t>
        </is>
      </c>
      <c r="W5">
        <f>HYPERLINK("https://klasma.github.io/Logging_1214/artfynd/A 61064-2024 artfynd.xlsx", "A 61064-2024")</f>
        <v/>
      </c>
      <c r="X5">
        <f>HYPERLINK("https://klasma.github.io/Logging_1214/kartor/A 61064-2024 karta.png", "A 61064-2024")</f>
        <v/>
      </c>
      <c r="Y5">
        <f>HYPERLINK("https://klasma.github.io/Logging_1214/kartor_geotiff/A 61064-2024 georefererad karta.tif", "A 61064-2024")</f>
        <v/>
      </c>
      <c r="AA5">
        <f>HYPERLINK("https://klasma.github.io/Logging_1214/klagomål/A 61064-2024 FSC-klagomål.docx", "A 61064-2024")</f>
        <v/>
      </c>
      <c r="AB5">
        <f>HYPERLINK("https://klasma.github.io/Logging_1214/klagomålsmail/A 61064-2024 FSC-klagomål mail.docx", "A 61064-2024")</f>
        <v/>
      </c>
      <c r="AC5">
        <f>HYPERLINK("https://klasma.github.io/Logging_1214/tillsyn/A 61064-2024 tillsynsbegäran.docx", "A 61064-2024")</f>
        <v/>
      </c>
      <c r="AD5">
        <f>HYPERLINK("https://klasma.github.io/Logging_1214/tillsynsmail/A 61064-2024 tillsynsbegäran mail.docx", "A 61064-2024")</f>
        <v/>
      </c>
    </row>
    <row r="6" ht="15" customHeight="1">
      <c r="A6" t="inlineStr">
        <is>
          <t>A 38522-2025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45884</v>
      </c>
      <c r="E6" s="1" t="n">
        <v>46292</v>
      </c>
      <c r="F6" t="inlineStr">
        <is>
          <t>SKÅNE LÄN</t>
        </is>
      </c>
      <c r="G6" t="inlineStr">
        <is>
          <t>SVALÖV</t>
        </is>
      </c>
      <c r="I6" t="n">
        <v>2.6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Skogsknipprot
Stor häxört</t>
        </is>
      </c>
      <c r="W6">
        <f>HYPERLINK("https://klasma.github.io/Logging_1214/artfynd/A 38522-2025 artfynd.xlsx", "A 38522-2025")</f>
        <v/>
      </c>
      <c r="X6">
        <f>HYPERLINK("https://klasma.github.io/Logging_1214/kartor/A 38522-2025 karta.png", "A 38522-2025")</f>
        <v/>
      </c>
      <c r="Y6">
        <f>HYPERLINK("https://klasma.github.io/Logging_1214/kartor_geotiff/A 38522-2025 georefererad karta.tif", "A 38522-2025")</f>
        <v/>
      </c>
      <c r="AA6">
        <f>HYPERLINK("https://klasma.github.io/Logging_1214/klagomål/A 38522-2025 FSC-klagomål.docx", "A 38522-2025")</f>
        <v/>
      </c>
      <c r="AB6">
        <f>HYPERLINK("https://klasma.github.io/Logging_1214/klagomålsmail/A 38522-2025 FSC-klagomål mail.docx", "A 38522-2025")</f>
        <v/>
      </c>
      <c r="AC6">
        <f>HYPERLINK("https://klasma.github.io/Logging_1214/tillsyn/A 38522-2025 tillsynsbegäran.docx", "A 38522-2025")</f>
        <v/>
      </c>
      <c r="AD6">
        <f>HYPERLINK("https://klasma.github.io/Logging_1214/tillsynsmail/A 38522-2025 tillsynsbegäran mail.docx", "A 38522-2025")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46292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46292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46292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46292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46292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46292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46292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46292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46292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46292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46292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46292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46292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46292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46292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46292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46292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46292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45793</v>
      </c>
      <c r="E25" s="1" t="n">
        <v>46292</v>
      </c>
      <c r="F25" t="inlineStr">
        <is>
          <t>SKÅNE LÄN</t>
        </is>
      </c>
      <c r="G25" t="inlineStr">
        <is>
          <t>SVALÖV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46292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24513-2025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45798</v>
      </c>
      <c r="E27" s="1" t="n">
        <v>46292</v>
      </c>
      <c r="F27" t="inlineStr">
        <is>
          <t>SKÅNE LÄN</t>
        </is>
      </c>
      <c r="G27" t="inlineStr">
        <is>
          <t>SVALÖV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35587-2024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45531</v>
      </c>
      <c r="E28" s="1" t="n">
        <v>46292</v>
      </c>
      <c r="F28" t="inlineStr">
        <is>
          <t>SKÅNE LÄN</t>
        </is>
      </c>
      <c r="G28" t="inlineStr">
        <is>
          <t>SVALÖV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27310-2023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45096</v>
      </c>
      <c r="E29" s="1" t="n">
        <v>46292</v>
      </c>
      <c r="F29" t="inlineStr">
        <is>
          <t>SKÅNE LÄN</t>
        </is>
      </c>
      <c r="G29" t="inlineStr">
        <is>
          <t>SVALÖV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46049</v>
      </c>
      <c r="E30" s="1" t="n">
        <v>46292</v>
      </c>
      <c r="F30" t="inlineStr">
        <is>
          <t>SKÅNE LÄN</t>
        </is>
      </c>
      <c r="G30" t="inlineStr">
        <is>
          <t>SVALÖV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42706-2025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45908</v>
      </c>
      <c r="E31" s="1" t="n">
        <v>46292</v>
      </c>
      <c r="F31" t="inlineStr">
        <is>
          <t>SKÅNE LÄN</t>
        </is>
      </c>
      <c r="G31" t="inlineStr">
        <is>
          <t>SVALÖV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45988</v>
      </c>
      <c r="E32" s="1" t="n">
        <v>46292</v>
      </c>
      <c r="F32" t="inlineStr">
        <is>
          <t>SKÅNE LÄN</t>
        </is>
      </c>
      <c r="G32" t="inlineStr">
        <is>
          <t>SVALÖV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43425-2025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46292</v>
      </c>
      <c r="F33" t="inlineStr">
        <is>
          <t>SKÅNE LÄN</t>
        </is>
      </c>
      <c r="G33" t="inlineStr">
        <is>
          <t>SVALÖV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16667-2023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46292</v>
      </c>
      <c r="F34" t="inlineStr">
        <is>
          <t>SKÅNE LÄN</t>
        </is>
      </c>
      <c r="G34" t="inlineStr">
        <is>
          <t>SVALÖV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46292</v>
      </c>
      <c r="F35" t="inlineStr">
        <is>
          <t>SKÅNE LÄN</t>
        </is>
      </c>
      <c r="G35" t="inlineStr">
        <is>
          <t>SVALÖV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47139-2025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46292</v>
      </c>
      <c r="F36" t="inlineStr">
        <is>
          <t>SKÅNE LÄN</t>
        </is>
      </c>
      <c r="G36" t="inlineStr">
        <is>
          <t>SVALÖV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8332-2025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46292</v>
      </c>
      <c r="F37" t="inlineStr">
        <is>
          <t>SKÅNE LÄN</t>
        </is>
      </c>
      <c r="G37" t="inlineStr">
        <is>
          <t>SVALÖV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46292</v>
      </c>
      <c r="F38" t="inlineStr">
        <is>
          <t>SKÅNE LÄN</t>
        </is>
      </c>
      <c r="G38" t="inlineStr">
        <is>
          <t>SVALÖV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46292</v>
      </c>
      <c r="F39" t="inlineStr">
        <is>
          <t>SKÅNE LÄN</t>
        </is>
      </c>
      <c r="G39" t="inlineStr">
        <is>
          <t>SVALÖV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45434</v>
      </c>
      <c r="E40" s="1" t="n">
        <v>46292</v>
      </c>
      <c r="F40" t="inlineStr">
        <is>
          <t>SKÅNE LÄN</t>
        </is>
      </c>
      <c r="G40" t="inlineStr">
        <is>
          <t>SVALÖV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15747-2026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46292</v>
      </c>
      <c r="F41" t="inlineStr">
        <is>
          <t>SKÅNE LÄN</t>
        </is>
      </c>
      <c r="G41" t="inlineStr">
        <is>
          <t>SVALÖV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46042</v>
      </c>
      <c r="E42" s="1" t="n">
        <v>46292</v>
      </c>
      <c r="F42" t="inlineStr">
        <is>
          <t>SKÅNE LÄN</t>
        </is>
      </c>
      <c r="G42" t="inlineStr">
        <is>
          <t>SVALÖV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44923</v>
      </c>
      <c r="E43" s="1" t="n">
        <v>46292</v>
      </c>
      <c r="F43" t="inlineStr">
        <is>
          <t>SKÅNE LÄN</t>
        </is>
      </c>
      <c r="G43" t="inlineStr">
        <is>
          <t>SVALÖV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45910</v>
      </c>
      <c r="E44" s="1" t="n">
        <v>46292</v>
      </c>
      <c r="F44" t="inlineStr">
        <is>
          <t>SKÅNE LÄN</t>
        </is>
      </c>
      <c r="G44" t="inlineStr">
        <is>
          <t>SVALÖV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46292</v>
      </c>
      <c r="F45" t="inlineStr">
        <is>
          <t>SKÅNE LÄN</t>
        </is>
      </c>
      <c r="G45" t="inlineStr">
        <is>
          <t>SVALÖV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15157-2023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45016</v>
      </c>
      <c r="E46" s="1" t="n">
        <v>46292</v>
      </c>
      <c r="F46" t="inlineStr">
        <is>
          <t>SKÅNE LÄN</t>
        </is>
      </c>
      <c r="G46" t="inlineStr">
        <is>
          <t>SVALÖV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11491-2023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44991</v>
      </c>
      <c r="E47" s="1" t="n">
        <v>46292</v>
      </c>
      <c r="F47" t="inlineStr">
        <is>
          <t>SKÅNE LÄN</t>
        </is>
      </c>
      <c r="G47" t="inlineStr">
        <is>
          <t>SVALÖV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45141</v>
      </c>
      <c r="E48" s="1" t="n">
        <v>46292</v>
      </c>
      <c r="F48" t="inlineStr">
        <is>
          <t>SKÅNE LÄN</t>
        </is>
      </c>
      <c r="G48" t="inlineStr">
        <is>
          <t>SVALÖV</t>
        </is>
      </c>
      <c r="I48" t="n">
        <v>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43466-2025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45911</v>
      </c>
      <c r="E49" s="1" t="n">
        <v>46292</v>
      </c>
      <c r="F49" t="inlineStr">
        <is>
          <t>SKÅNE LÄN</t>
        </is>
      </c>
      <c r="G49" t="inlineStr">
        <is>
          <t>SVALÖV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44986</v>
      </c>
      <c r="E50" s="1" t="n">
        <v>46292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43004-2025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46292</v>
      </c>
      <c r="F51" t="inlineStr">
        <is>
          <t>SKÅNE LÄN</t>
        </is>
      </c>
      <c r="G51" t="inlineStr">
        <is>
          <t>SVALÖV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46292</v>
      </c>
      <c r="F52" t="inlineStr">
        <is>
          <t>SKÅNE LÄN</t>
        </is>
      </c>
      <c r="G52" t="inlineStr">
        <is>
          <t>SVALÖV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46006</v>
      </c>
      <c r="E53" s="1" t="n">
        <v>46292</v>
      </c>
      <c r="F53" t="inlineStr">
        <is>
          <t>SKÅNE LÄN</t>
        </is>
      </c>
      <c r="G53" t="inlineStr">
        <is>
          <t>SVALÖV</t>
        </is>
      </c>
      <c r="I53" t="n">
        <v>22.1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22262-2023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45070</v>
      </c>
      <c r="E54" s="1" t="n">
        <v>46292</v>
      </c>
      <c r="F54" t="inlineStr">
        <is>
          <t>SKÅNE LÄN</t>
        </is>
      </c>
      <c r="G54" t="inlineStr">
        <is>
          <t>SVALÖV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46292</v>
      </c>
      <c r="F55" t="inlineStr">
        <is>
          <t>SKÅNE LÄN</t>
        </is>
      </c>
      <c r="G55" t="inlineStr">
        <is>
          <t>SVALÖV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46292</v>
      </c>
      <c r="F56" t="inlineStr">
        <is>
          <t>SKÅNE LÄN</t>
        </is>
      </c>
      <c r="G56" t="inlineStr">
        <is>
          <t>SVALÖV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18121-2025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45761</v>
      </c>
      <c r="E57" s="1" t="n">
        <v>46292</v>
      </c>
      <c r="F57" t="inlineStr">
        <is>
          <t>SKÅNE LÄN</t>
        </is>
      </c>
      <c r="G57" t="inlineStr">
        <is>
          <t>SVALÖV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17980-2025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45761</v>
      </c>
      <c r="E58" s="1" t="n">
        <v>46292</v>
      </c>
      <c r="F58" t="inlineStr">
        <is>
          <t>SKÅNE LÄN</t>
        </is>
      </c>
      <c r="G58" t="inlineStr">
        <is>
          <t>SVALÖV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19282-2025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45769</v>
      </c>
      <c r="E59" s="1" t="n">
        <v>46292</v>
      </c>
      <c r="F59" t="inlineStr">
        <is>
          <t>SKÅNE LÄN</t>
        </is>
      </c>
      <c r="G59" t="inlineStr">
        <is>
          <t>SVALÖV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18438-2026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46127</v>
      </c>
      <c r="E60" s="1" t="n">
        <v>46292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24286-2026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46169</v>
      </c>
      <c r="E61" s="1" t="n">
        <v>46292</v>
      </c>
      <c r="F61" t="inlineStr">
        <is>
          <t>SKÅNE LÄN</t>
        </is>
      </c>
      <c r="G61" t="inlineStr">
        <is>
          <t>SVALÖV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45987</v>
      </c>
      <c r="E62" s="1" t="n">
        <v>46292</v>
      </c>
      <c r="F62" t="inlineStr">
        <is>
          <t>SKÅNE LÄN</t>
        </is>
      </c>
      <c r="G62" t="inlineStr">
        <is>
          <t>SVALÖV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46292</v>
      </c>
      <c r="F63" t="inlineStr">
        <is>
          <t>SKÅNE LÄN</t>
        </is>
      </c>
      <c r="G63" t="inlineStr">
        <is>
          <t>SVALÖV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6335-2022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46292</v>
      </c>
      <c r="F64" t="inlineStr">
        <is>
          <t>SKÅNE LÄN</t>
        </is>
      </c>
      <c r="G64" t="inlineStr">
        <is>
          <t>SVALÖV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46292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37907-2025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46292</v>
      </c>
      <c r="F66" t="inlineStr">
        <is>
          <t>SKÅNE LÄN</t>
        </is>
      </c>
      <c r="G66" t="inlineStr">
        <is>
          <t>SVALÖV</t>
        </is>
      </c>
      <c r="H66" t="inlineStr">
        <is>
          <t>Kyrkan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44112-2023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46292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46178</v>
      </c>
      <c r="E68" s="1" t="n">
        <v>46292</v>
      </c>
      <c r="F68" t="inlineStr">
        <is>
          <t>SKÅNE LÄN</t>
        </is>
      </c>
      <c r="G68" t="inlineStr">
        <is>
          <t>SVALÖV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46292</v>
      </c>
      <c r="F69" t="inlineStr">
        <is>
          <t>SKÅNE LÄN</t>
        </is>
      </c>
      <c r="G69" t="inlineStr">
        <is>
          <t>SVALÖV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45895</v>
      </c>
      <c r="E70" s="1" t="n">
        <v>46292</v>
      </c>
      <c r="F70" t="inlineStr">
        <is>
          <t>SKÅNE LÄN</t>
        </is>
      </c>
      <c r="G70" t="inlineStr">
        <is>
          <t>SVALÖV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46202</v>
      </c>
      <c r="E71" s="1" t="n">
        <v>46292</v>
      </c>
      <c r="F71" t="inlineStr">
        <is>
          <t>SKÅNE LÄN</t>
        </is>
      </c>
      <c r="G71" t="inlineStr">
        <is>
          <t>SVALÖV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46292</v>
      </c>
      <c r="F72" t="inlineStr">
        <is>
          <t>SKÅNE LÄN</t>
        </is>
      </c>
      <c r="G72" t="inlineStr">
        <is>
          <t>SVALÖV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1901-2025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45671</v>
      </c>
      <c r="E73" s="1" t="n">
        <v>46292</v>
      </c>
      <c r="F73" t="inlineStr">
        <is>
          <t>SKÅNE LÄN</t>
        </is>
      </c>
      <c r="G73" t="inlineStr">
        <is>
          <t>SVALÖV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46292</v>
      </c>
      <c r="F74" t="inlineStr">
        <is>
          <t>SKÅNE LÄN</t>
        </is>
      </c>
      <c r="G74" t="inlineStr">
        <is>
          <t>SVALÖV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46292</v>
      </c>
      <c r="F75" t="inlineStr">
        <is>
          <t>SKÅNE LÄN</t>
        </is>
      </c>
      <c r="G75" t="inlineStr">
        <is>
          <t>SVALÖV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30202-2026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46206</v>
      </c>
      <c r="E76" s="1" t="n">
        <v>46292</v>
      </c>
      <c r="F76" t="inlineStr">
        <is>
          <t>SKÅNE LÄN</t>
        </is>
      </c>
      <c r="G76" t="inlineStr">
        <is>
          <t>SVALÖV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43736-2023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45182</v>
      </c>
      <c r="E77" s="1" t="n">
        <v>46292</v>
      </c>
      <c r="F77" t="inlineStr">
        <is>
          <t>SKÅNE LÄN</t>
        </is>
      </c>
      <c r="G77" t="inlineStr">
        <is>
          <t>SVALÖV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9716-2022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46292</v>
      </c>
      <c r="F78" t="inlineStr">
        <is>
          <t>SKÅNE LÄN</t>
        </is>
      </c>
      <c r="G78" t="inlineStr">
        <is>
          <t>SVALÖV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44806</v>
      </c>
      <c r="E79" s="1" t="n">
        <v>46292</v>
      </c>
      <c r="F79" t="inlineStr">
        <is>
          <t>SKÅNE LÄN</t>
        </is>
      </c>
      <c r="G79" t="inlineStr">
        <is>
          <t>SVALÖV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45330</v>
      </c>
      <c r="E80" s="1" t="n">
        <v>46292</v>
      </c>
      <c r="F80" t="inlineStr">
        <is>
          <t>SKÅNE LÄN</t>
        </is>
      </c>
      <c r="G80" t="inlineStr">
        <is>
          <t>SVALÖV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17731-2025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45758</v>
      </c>
      <c r="E81" s="1" t="n">
        <v>46292</v>
      </c>
      <c r="F81" t="inlineStr">
        <is>
          <t>SKÅNE LÄN</t>
        </is>
      </c>
      <c r="G81" t="inlineStr">
        <is>
          <t>SVALÖV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13791-2026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46292</v>
      </c>
      <c r="F82" t="inlineStr">
        <is>
          <t>SKÅNE LÄN</t>
        </is>
      </c>
      <c r="G82" t="inlineStr">
        <is>
          <t>SVALÖV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46097</v>
      </c>
      <c r="E83" s="1" t="n">
        <v>46292</v>
      </c>
      <c r="F83" t="inlineStr">
        <is>
          <t>SKÅNE LÄN</t>
        </is>
      </c>
      <c r="G83" t="inlineStr">
        <is>
          <t>SVALÖV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27380-2026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46292</v>
      </c>
      <c r="F84" t="inlineStr">
        <is>
          <t>SKÅNE LÄN</t>
        </is>
      </c>
      <c r="G84" t="inlineStr">
        <is>
          <t>SVALÖV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46292</v>
      </c>
      <c r="F85" t="inlineStr">
        <is>
          <t>SKÅNE LÄN</t>
        </is>
      </c>
      <c r="G85" t="inlineStr">
        <is>
          <t>SVALÖV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46292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44987</v>
      </c>
      <c r="E87" s="1" t="n">
        <v>46292</v>
      </c>
      <c r="F87" t="inlineStr">
        <is>
          <t>SKÅNE LÄN</t>
        </is>
      </c>
      <c r="G87" t="inlineStr">
        <is>
          <t>SVALÖV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44670</v>
      </c>
      <c r="E88" s="1" t="n">
        <v>46292</v>
      </c>
      <c r="F88" t="inlineStr">
        <is>
          <t>SKÅNE LÄN</t>
        </is>
      </c>
      <c r="G88" t="inlineStr">
        <is>
          <t>SVALÖV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44910</v>
      </c>
      <c r="E89" s="1" t="n">
        <v>46292</v>
      </c>
      <c r="F89" t="inlineStr">
        <is>
          <t>SKÅNE LÄN</t>
        </is>
      </c>
      <c r="G89" t="inlineStr">
        <is>
          <t>SVALÖV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46292</v>
      </c>
      <c r="F90" t="inlineStr">
        <is>
          <t>SKÅNE LÄN</t>
        </is>
      </c>
      <c r="G90" t="inlineStr">
        <is>
          <t>SVALÖV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46292</v>
      </c>
      <c r="F91" t="inlineStr">
        <is>
          <t>SKÅNE LÄN</t>
        </is>
      </c>
      <c r="G91" t="inlineStr">
        <is>
          <t>SVALÖV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45373</v>
      </c>
      <c r="E92" s="1" t="n">
        <v>46292</v>
      </c>
      <c r="F92" t="inlineStr">
        <is>
          <t>SKÅNE LÄN</t>
        </is>
      </c>
      <c r="G92" t="inlineStr">
        <is>
          <t>SVALÖV</t>
        </is>
      </c>
      <c r="I92" t="n">
        <v>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11922-2023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46292</v>
      </c>
      <c r="F93" t="inlineStr">
        <is>
          <t>SKÅNE LÄN</t>
        </is>
      </c>
      <c r="G93" t="inlineStr">
        <is>
          <t>SVALÖV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46292</v>
      </c>
      <c r="F94" t="inlineStr">
        <is>
          <t>SKÅNE LÄN</t>
        </is>
      </c>
      <c r="G94" t="inlineStr">
        <is>
          <t>SVALÖV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32620-2023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46292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45306</v>
      </c>
      <c r="E96" s="1" t="n">
        <v>46292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44588</v>
      </c>
      <c r="E97" s="1" t="n">
        <v>46292</v>
      </c>
      <c r="F97" t="inlineStr">
        <is>
          <t>SKÅNE LÄN</t>
        </is>
      </c>
      <c r="G97" t="inlineStr">
        <is>
          <t>SVALÖV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46292</v>
      </c>
      <c r="F98" t="inlineStr">
        <is>
          <t>SKÅNE LÄN</t>
        </is>
      </c>
      <c r="G98" t="inlineStr">
        <is>
          <t>SVALÖV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44986</v>
      </c>
      <c r="E99" s="1" t="n">
        <v>46292</v>
      </c>
      <c r="F99" t="inlineStr">
        <is>
          <t>SKÅNE LÄN</t>
        </is>
      </c>
      <c r="G99" t="inlineStr">
        <is>
          <t>SVALÖV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46292</v>
      </c>
      <c r="F100" t="inlineStr">
        <is>
          <t>SKÅNE LÄN</t>
        </is>
      </c>
      <c r="G100" t="inlineStr">
        <is>
          <t>SVALÖV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46292</v>
      </c>
      <c r="F101" t="inlineStr">
        <is>
          <t>SKÅNE LÄN</t>
        </is>
      </c>
      <c r="G101" t="inlineStr">
        <is>
          <t>SVALÖV</t>
        </is>
      </c>
      <c r="I101" t="n">
        <v>12.4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45573</v>
      </c>
      <c r="E102" s="1" t="n">
        <v>46292</v>
      </c>
      <c r="F102" t="inlineStr">
        <is>
          <t>SKÅNE LÄN</t>
        </is>
      </c>
      <c r="G102" t="inlineStr">
        <is>
          <t>SVALÖV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46292</v>
      </c>
      <c r="F103" t="inlineStr">
        <is>
          <t>SKÅNE LÄN</t>
        </is>
      </c>
      <c r="G103" t="inlineStr">
        <is>
          <t>SVALÖV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46292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45783</v>
      </c>
      <c r="E105" s="1" t="n">
        <v>46292</v>
      </c>
      <c r="F105" t="inlineStr">
        <is>
          <t>SKÅNE LÄN</t>
        </is>
      </c>
      <c r="G105" t="inlineStr">
        <is>
          <t>SVALÖV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46292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46292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46292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46292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2026-09-27T02:03:31Z</dcterms:created>
  <dcterms:modified xmlns:dcterms="http://purl.org/dc/terms/" xmlns:xsi="http://www.w3.org/2001/XMLSchema-instance" xsi:type="dcterms:W3CDTF">2026-09-27T02:03:31Z</dcterms:modified>
</cp:coreProperties>
</file>