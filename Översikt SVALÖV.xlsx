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46221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Ask
Strutbräken</t>
        </is>
      </c>
      <c r="V4">
        <f>HYPERLINK("https://klasma.github.io/Logging_1214/artfynd/A 15475-2024 artfynd.xlsx", "A 15475-2024")</f>
        <v/>
      </c>
      <c r="W4">
        <f>HYPERLINK("https://klasma.github.io/Logging_1214/kartor/A 15475-2024 karta.png", "A 15475-2024")</f>
        <v/>
      </c>
      <c r="Y4">
        <f>HYPERLINK("https://klasma.github.io/Logging_1214/klagomål/A 15475-2024 FSC-klagomål.docx", "A 15475-2024")</f>
        <v/>
      </c>
      <c r="Z4">
        <f>HYPERLINK("https://klasma.github.io/Logging_1214/klagomålsmail/A 15475-2024 FSC-klagomål mail.docx", "A 15475-2024")</f>
        <v/>
      </c>
      <c r="AA4">
        <f>HYPERLINK("https://klasma.github.io/Logging_1214/tillsyn/A 15475-2024 tillsynsbegäran.docx", "A 15475-2024")</f>
        <v/>
      </c>
      <c r="AB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46221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Skogsknipprot
Stor häxört</t>
        </is>
      </c>
      <c r="V5">
        <f>HYPERLINK("https://klasma.github.io/Logging_1214/artfynd/A 38522-2025 artfynd.xlsx", "A 38522-2025")</f>
        <v/>
      </c>
      <c r="W5">
        <f>HYPERLINK("https://klasma.github.io/Logging_1214/kartor/A 38522-2025 karta.png", "A 38522-2025")</f>
        <v/>
      </c>
      <c r="Y5">
        <f>HYPERLINK("https://klasma.github.io/Logging_1214/klagomål/A 38522-2025 FSC-klagomål.docx", "A 38522-2025")</f>
        <v/>
      </c>
      <c r="Z5">
        <f>HYPERLINK("https://klasma.github.io/Logging_1214/klagomålsmail/A 38522-2025 FSC-klagomål mail.docx", "A 38522-2025")</f>
        <v/>
      </c>
      <c r="AA5">
        <f>HYPERLINK("https://klasma.github.io/Logging_1214/tillsyn/A 38522-2025 tillsynsbegäran.docx", "A 38522-2025")</f>
        <v/>
      </c>
      <c r="AB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46221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Lundticka</t>
        </is>
      </c>
      <c r="V7">
        <f>HYPERLINK("https://klasma.github.io/Logging_1214/artfynd/A 15456-2024 artfynd.xlsx", "A 15456-2024")</f>
        <v/>
      </c>
      <c r="W7">
        <f>HYPERLINK("https://klasma.github.io/Logging_1214/kartor/A 15456-2024 karta.png", "A 15456-2024")</f>
        <v/>
      </c>
      <c r="Y7">
        <f>HYPERLINK("https://klasma.github.io/Logging_1214/klagomål/A 15456-2024 FSC-klagomål.docx", "A 15456-2024")</f>
        <v/>
      </c>
      <c r="Z7">
        <f>HYPERLINK("https://klasma.github.io/Logging_1214/klagomålsmail/A 15456-2024 FSC-klagomål mail.docx", "A 15456-2024")</f>
        <v/>
      </c>
      <c r="AA7">
        <f>HYPERLINK("https://klasma.github.io/Logging_1214/tillsyn/A 15456-2024 tillsynsbegäran.docx", "A 15456-2024")</f>
        <v/>
      </c>
      <c r="AB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46221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Större vattensalamander</t>
        </is>
      </c>
      <c r="V8">
        <f>HYPERLINK("https://klasma.github.io/Logging_1214/artfynd/A 1577-2024 artfynd.xlsx", "A 1577-2024")</f>
        <v/>
      </c>
      <c r="W8">
        <f>HYPERLINK("https://klasma.github.io/Logging_1214/kartor/A 1577-2024 karta.png", "A 1577-2024")</f>
        <v/>
      </c>
      <c r="Y8">
        <f>HYPERLINK("https://klasma.github.io/Logging_1214/klagomål/A 1577-2024 FSC-klagomål.docx", "A 1577-2024")</f>
        <v/>
      </c>
      <c r="Z8">
        <f>HYPERLINK("https://klasma.github.io/Logging_1214/klagomålsmail/A 1577-2024 FSC-klagomål mail.docx", "A 1577-2024")</f>
        <v/>
      </c>
      <c r="AA8">
        <f>HYPERLINK("https://klasma.github.io/Logging_1214/tillsyn/A 1577-2024 tillsynsbegäran.docx", "A 1577-2024")</f>
        <v/>
      </c>
      <c r="AB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Y9">
        <f>HYPERLINK("https://klasma.github.io/Logging_1214/klagomål/A 20125-2024 FSC-klagomål.docx", "A 20125-2024")</f>
        <v/>
      </c>
      <c r="Z9">
        <f>HYPERLINK("https://klasma.github.io/Logging_1214/klagomålsmail/A 20125-2024 FSC-klagomål mail.docx", "A 20125-2024")</f>
        <v/>
      </c>
      <c r="AA9">
        <f>HYPERLINK("https://klasma.github.io/Logging_1214/tillsyn/A 20125-2024 tillsynsbegäran.docx", "A 20125-2024")</f>
        <v/>
      </c>
      <c r="AB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Skogsveronika</t>
        </is>
      </c>
      <c r="V10">
        <f>HYPERLINK("https://klasma.github.io/Logging_1214/artfynd/A 11672-2024 artfynd.xlsx", "A 11672-2024")</f>
        <v/>
      </c>
      <c r="W10">
        <f>HYPERLINK("https://klasma.github.io/Logging_1214/kartor/A 11672-2024 karta.png", "A 11672-2024")</f>
        <v/>
      </c>
      <c r="Y10">
        <f>HYPERLINK("https://klasma.github.io/Logging_1214/klagomål/A 11672-2024 FSC-klagomål.docx", "A 11672-2024")</f>
        <v/>
      </c>
      <c r="Z10">
        <f>HYPERLINK("https://klasma.github.io/Logging_1214/klagomålsmail/A 11672-2024 FSC-klagomål mail.docx", "A 11672-2024")</f>
        <v/>
      </c>
      <c r="AA10">
        <f>HYPERLINK("https://klasma.github.io/Logging_1214/tillsyn/A 11672-2024 tillsynsbegäran.docx", "A 11672-2024")</f>
        <v/>
      </c>
      <c r="AB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Skogsknipprot</t>
        </is>
      </c>
      <c r="V11">
        <f>HYPERLINK("https://klasma.github.io/Logging_1214/artfynd/A 52664-2023 artfynd.xlsx", "A 52664-2023")</f>
        <v/>
      </c>
      <c r="W11">
        <f>HYPERLINK("https://klasma.github.io/Logging_1214/kartor/A 52664-2023 karta.png", "A 52664-2023")</f>
        <v/>
      </c>
      <c r="Y11">
        <f>HYPERLINK("https://klasma.github.io/Logging_1214/klagomål/A 52664-2023 FSC-klagomål.docx", "A 52664-2023")</f>
        <v/>
      </c>
      <c r="Z11">
        <f>HYPERLINK("https://klasma.github.io/Logging_1214/klagomålsmail/A 52664-2023 FSC-klagomål mail.docx", "A 52664-2023")</f>
        <v/>
      </c>
      <c r="AA11">
        <f>HYPERLINK("https://klasma.github.io/Logging_1214/tillsyn/A 52664-2023 tillsynsbegäran.docx", "A 52664-2023")</f>
        <v/>
      </c>
      <c r="AB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46221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Korndådra</t>
        </is>
      </c>
      <c r="V12">
        <f>HYPERLINK("https://klasma.github.io/Logging_1214/artfynd/A 11170-2023 artfynd.xlsx", "A 11170-2023")</f>
        <v/>
      </c>
      <c r="W12">
        <f>HYPERLINK("https://klasma.github.io/Logging_1214/kartor/A 11170-2023 karta.png", "A 11170-2023")</f>
        <v/>
      </c>
      <c r="Y12">
        <f>HYPERLINK("https://klasma.github.io/Logging_1214/klagomål/A 11170-2023 FSC-klagomål.docx", "A 11170-2023")</f>
        <v/>
      </c>
      <c r="Z12">
        <f>HYPERLINK("https://klasma.github.io/Logging_1214/klagomålsmail/A 11170-2023 FSC-klagomål mail.docx", "A 11170-2023")</f>
        <v/>
      </c>
      <c r="AA12">
        <f>HYPERLINK("https://klasma.github.io/Logging_1214/tillsyn/A 11170-2023 tillsynsbegäran.docx", "A 11170-2023")</f>
        <v/>
      </c>
      <c r="AB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46221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Entita</t>
        </is>
      </c>
      <c r="V13">
        <f>HYPERLINK("https://klasma.github.io/Logging_1214/artfynd/A 54127-2025 artfynd.xlsx", "A 54127-2025")</f>
        <v/>
      </c>
      <c r="W13">
        <f>HYPERLINK("https://klasma.github.io/Logging_1214/kartor/A 54127-2025 karta.png", "A 54127-2025")</f>
        <v/>
      </c>
      <c r="Y13">
        <f>HYPERLINK("https://klasma.github.io/Logging_1214/klagomål/A 54127-2025 FSC-klagomål.docx", "A 54127-2025")</f>
        <v/>
      </c>
      <c r="Z13">
        <f>HYPERLINK("https://klasma.github.io/Logging_1214/klagomålsmail/A 54127-2025 FSC-klagomål mail.docx", "A 54127-2025")</f>
        <v/>
      </c>
      <c r="AA13">
        <f>HYPERLINK("https://klasma.github.io/Logging_1214/tillsyn/A 54127-2025 tillsynsbegäran.docx", "A 54127-2025")</f>
        <v/>
      </c>
      <c r="AB13">
        <f>HYPERLINK("https://klasma.github.io/Logging_1214/tillsynsmail/A 54127-2025 tillsynsbegäran mail.docx", "A 54127-2025")</f>
        <v/>
      </c>
      <c r="AC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Y14">
        <f>HYPERLINK("https://klasma.github.io/Logging_1214/klagomål/A 8169-2024 FSC-klagomål.docx", "A 8169-2024")</f>
        <v/>
      </c>
      <c r="Z14">
        <f>HYPERLINK("https://klasma.github.io/Logging_1214/klagomålsmail/A 8169-2024 FSC-klagomål mail.docx", "A 8169-2024")</f>
        <v/>
      </c>
      <c r="AA14">
        <f>HYPERLINK("https://klasma.github.io/Logging_1214/tillsyn/A 8169-2024 tillsynsbegäran.docx", "A 8169-2024")</f>
        <v/>
      </c>
      <c r="AB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46221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46221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46221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46221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46221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8332-2025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45708</v>
      </c>
      <c r="E28" s="1" t="n">
        <v>46221</v>
      </c>
      <c r="F28" t="inlineStr">
        <is>
          <t>SKÅNE LÄN</t>
        </is>
      </c>
      <c r="G28" t="inlineStr">
        <is>
          <t>SVALÖV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14543-2024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46221</v>
      </c>
      <c r="F29" t="inlineStr">
        <is>
          <t>SKÅNE LÄN</t>
        </is>
      </c>
      <c r="G29" t="inlineStr">
        <is>
          <t>SVALÖV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46221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46221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46221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46221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46221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20170-2024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46221</v>
      </c>
      <c r="F35" t="inlineStr">
        <is>
          <t>SKÅNE LÄN</t>
        </is>
      </c>
      <c r="G35" t="inlineStr">
        <is>
          <t>SVALÖV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46221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46221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62403-2022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44923</v>
      </c>
      <c r="E38" s="1" t="n">
        <v>46221</v>
      </c>
      <c r="F38" t="inlineStr">
        <is>
          <t>SKÅNE LÄN</t>
        </is>
      </c>
      <c r="G38" t="inlineStr">
        <is>
          <t>SVALÖV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46221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46221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46221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37907-2025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46221</v>
      </c>
      <c r="F42" t="inlineStr">
        <is>
          <t>SKÅNE LÄN</t>
        </is>
      </c>
      <c r="G42" t="inlineStr">
        <is>
          <t>SVALÖV</t>
        </is>
      </c>
      <c r="H42" t="inlineStr">
        <is>
          <t>Kyrkan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40470-2025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45895</v>
      </c>
      <c r="E43" s="1" t="n">
        <v>46221</v>
      </c>
      <c r="F43" t="inlineStr">
        <is>
          <t>SKÅNE LÄN</t>
        </is>
      </c>
      <c r="G43" t="inlineStr">
        <is>
          <t>SVALÖV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10209-2023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46221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46221</v>
      </c>
      <c r="F45" t="inlineStr">
        <is>
          <t>SKÅNE LÄN</t>
        </is>
      </c>
      <c r="G45" t="inlineStr">
        <is>
          <t>SVALÖV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46221</v>
      </c>
      <c r="F46" t="inlineStr">
        <is>
          <t>SKÅNE LÄN</t>
        </is>
      </c>
      <c r="G46" t="inlineStr">
        <is>
          <t>SVALÖV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46221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46221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48279-2021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46221</v>
      </c>
      <c r="F49" t="inlineStr">
        <is>
          <t>SKÅNE LÄN</t>
        </is>
      </c>
      <c r="G49" t="inlineStr">
        <is>
          <t>SVALÖV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49032-2022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46221</v>
      </c>
      <c r="F50" t="inlineStr">
        <is>
          <t>SKÅNE LÄN</t>
        </is>
      </c>
      <c r="G50" t="inlineStr">
        <is>
          <t>SVALÖV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46221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46221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46221</v>
      </c>
      <c r="F53" t="inlineStr">
        <is>
          <t>SKÅNE LÄN</t>
        </is>
      </c>
      <c r="G53" t="inlineStr">
        <is>
          <t>SVALÖV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46221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13791-2026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46221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13787-2026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46221</v>
      </c>
      <c r="F56" t="inlineStr">
        <is>
          <t>SKÅNE LÄN</t>
        </is>
      </c>
      <c r="G56" t="inlineStr">
        <is>
          <t>SVALÖV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46107</v>
      </c>
      <c r="E57" s="1" t="n">
        <v>46221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46221</v>
      </c>
      <c r="F58" t="inlineStr">
        <is>
          <t>SKÅNE LÄN</t>
        </is>
      </c>
      <c r="G58" t="inlineStr">
        <is>
          <t>SVALÖV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46221</v>
      </c>
      <c r="F59" t="inlineStr">
        <is>
          <t>SKÅNE LÄN</t>
        </is>
      </c>
      <c r="G59" t="inlineStr">
        <is>
          <t>SVALÖV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18926-2026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46221</v>
      </c>
      <c r="F60" t="inlineStr">
        <is>
          <t>SKÅNE LÄN</t>
        </is>
      </c>
      <c r="G60" t="inlineStr">
        <is>
          <t>SVALÖV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46221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45141</v>
      </c>
      <c r="E62" s="1" t="n">
        <v>46221</v>
      </c>
      <c r="F62" t="inlineStr">
        <is>
          <t>SKÅNE LÄN</t>
        </is>
      </c>
      <c r="G62" t="inlineStr">
        <is>
          <t>SVALÖV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46221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46221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42588-2023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46221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46221</v>
      </c>
      <c r="F66" t="inlineStr">
        <is>
          <t>SKÅNE LÄN</t>
        </is>
      </c>
      <c r="G66" t="inlineStr">
        <is>
          <t>SVALÖV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46221</v>
      </c>
      <c r="F67" t="inlineStr">
        <is>
          <t>SKÅNE LÄN</t>
        </is>
      </c>
      <c r="G67" t="inlineStr">
        <is>
          <t>SVALÖV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43736-2023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45182</v>
      </c>
      <c r="E68" s="1" t="n">
        <v>46221</v>
      </c>
      <c r="F68" t="inlineStr">
        <is>
          <t>SKÅNE LÄN</t>
        </is>
      </c>
      <c r="G68" t="inlineStr">
        <is>
          <t>SVALÖV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62201-2025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46006</v>
      </c>
      <c r="E69" s="1" t="n">
        <v>46221</v>
      </c>
      <c r="F69" t="inlineStr">
        <is>
          <t>SKÅNE LÄN</t>
        </is>
      </c>
      <c r="G69" t="inlineStr">
        <is>
          <t>SVALÖV</t>
        </is>
      </c>
      <c r="I69" t="n">
        <v>22.1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9716-2022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44617</v>
      </c>
      <c r="E70" s="1" t="n">
        <v>46221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46221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46221</v>
      </c>
      <c r="F72" t="inlineStr">
        <is>
          <t>SKÅNE LÄN</t>
        </is>
      </c>
      <c r="G72" t="inlineStr">
        <is>
          <t>SVALÖV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17731-2025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45758</v>
      </c>
      <c r="E73" s="1" t="n">
        <v>46221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46221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46221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46221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46202</v>
      </c>
      <c r="E77" s="1" t="n">
        <v>46221</v>
      </c>
      <c r="F77" t="inlineStr">
        <is>
          <t>SKÅNE LÄN</t>
        </is>
      </c>
      <c r="G77" t="inlineStr">
        <is>
          <t>SVALÖV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46221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46221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46221</v>
      </c>
      <c r="F80" t="inlineStr">
        <is>
          <t>SKÅNE LÄN</t>
        </is>
      </c>
      <c r="G80" t="inlineStr">
        <is>
          <t>SVALÖV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48262-2021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44449</v>
      </c>
      <c r="E81" s="1" t="n">
        <v>46221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30202-2026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46221</v>
      </c>
      <c r="F82" t="inlineStr">
        <is>
          <t>SKÅNE LÄN</t>
        </is>
      </c>
      <c r="G82" t="inlineStr">
        <is>
          <t>SVALÖV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8924-2023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46221</v>
      </c>
      <c r="F83" t="inlineStr">
        <is>
          <t>SKÅNE LÄN</t>
        </is>
      </c>
      <c r="G83" t="inlineStr">
        <is>
          <t>SVALÖV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46221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18438-2026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46221</v>
      </c>
      <c r="F85" t="inlineStr">
        <is>
          <t>SKÅNE LÄN</t>
        </is>
      </c>
      <c r="G85" t="inlineStr">
        <is>
          <t>SVALÖV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46221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46221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24286-2026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46221</v>
      </c>
      <c r="F88" t="inlineStr">
        <is>
          <t>SKÅNE LÄN</t>
        </is>
      </c>
      <c r="G88" t="inlineStr">
        <is>
          <t>SVALÖV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46221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32620-2023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46221</v>
      </c>
      <c r="F90" t="inlineStr">
        <is>
          <t>SKÅNE LÄN</t>
        </is>
      </c>
      <c r="G90" t="inlineStr">
        <is>
          <t>SVALÖV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58970-2025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46221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25832-2026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46221</v>
      </c>
      <c r="F92" t="inlineStr">
        <is>
          <t>SKÅNE LÄN</t>
        </is>
      </c>
      <c r="G92" t="inlineStr">
        <is>
          <t>SVALÖV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46221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46221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46221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46221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46177</v>
      </c>
      <c r="E97" s="1" t="n">
        <v>46221</v>
      </c>
      <c r="F97" t="inlineStr">
        <is>
          <t>SKÅNE LÄN</t>
        </is>
      </c>
      <c r="G97" t="inlineStr">
        <is>
          <t>SVALÖV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46221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46221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46221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46221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46221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46221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46221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46221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46221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46221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46221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46221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46221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2026-07-18T01:22:52Z</dcterms:created>
  <dcterms:modified xmlns:dcterms="http://purl.org/dc/terms/" xmlns:xsi="http://www.w3.org/2001/XMLSchema-instance" xsi:type="dcterms:W3CDTF">2026-07-18T01:22:52Z</dcterms:modified>
</cp:coreProperties>
</file>