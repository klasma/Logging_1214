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46298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46298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46298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46298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46298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54127-2025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45964</v>
      </c>
      <c r="E10" s="1" t="n">
        <v>46298</v>
      </c>
      <c r="F10" t="inlineStr">
        <is>
          <t>SKÅNE LÄN</t>
        </is>
      </c>
      <c r="G10" t="inlineStr">
        <is>
          <t>SVALÖV</t>
        </is>
      </c>
      <c r="I10" t="n">
        <v>1.3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Entita</t>
        </is>
      </c>
      <c r="W10">
        <f>HYPERLINK("https://klasma.github.io/Logging_1214/artfynd/A 54127-2025 artfynd.xlsx", "A 54127-2025")</f>
        <v/>
      </c>
      <c r="X10">
        <f>HYPERLINK("https://klasma.github.io/Logging_1214/kartor/A 54127-2025 karta.png", "A 54127-2025")</f>
        <v/>
      </c>
      <c r="Y10">
        <f>HYPERLINK("https://klasma.github.io/Logging_1214/kartor_geotiff/A 54127-2025 georefererad karta.tif", "A 54127-2025")</f>
        <v/>
      </c>
      <c r="AA10">
        <f>HYPERLINK("https://klasma.github.io/Logging_1214/klagomål/A 54127-2025 FSC-klagomål.docx", "A 54127-2025")</f>
        <v/>
      </c>
      <c r="AB10">
        <f>HYPERLINK("https://klasma.github.io/Logging_1214/klagomålsmail/A 54127-2025 FSC-klagomål mail.docx", "A 54127-2025")</f>
        <v/>
      </c>
      <c r="AC10">
        <f>HYPERLINK("https://klasma.github.io/Logging_1214/tillsyn/A 54127-2025 tillsynsbegäran.docx", "A 54127-2025")</f>
        <v/>
      </c>
      <c r="AD10">
        <f>HYPERLINK("https://klasma.github.io/Logging_1214/tillsynsmail/A 54127-2025 tillsynsbegäran mail.docx", "A 54127-2025")</f>
        <v/>
      </c>
      <c r="AE10">
        <f>HYPERLINK("https://klasma.github.io/Logging_1214/fåglar/A 54127-2025 prioriterade fågelarter.docx", "A 54127-2025")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46298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46298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46298</v>
      </c>
      <c r="F13" t="inlineStr">
        <is>
          <t>SKÅNE LÄN</t>
        </is>
      </c>
      <c r="G13" t="inlineStr">
        <is>
          <t>SVALÖV</t>
        </is>
      </c>
      <c r="I13" t="n">
        <v>13.9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Skogsveronika</t>
        </is>
      </c>
      <c r="W13">
        <f>HYPERLINK("https://klasma.github.io/Logging_1214/artfynd/A 11672-2024 artfynd.xlsx", "A 11672-2024")</f>
        <v/>
      </c>
      <c r="X13">
        <f>HYPERLINK("https://klasma.github.io/Logging_1214/kartor/A 11672-2024 karta.png", "A 11672-2024")</f>
        <v/>
      </c>
      <c r="Y13">
        <f>HYPERLINK("https://klasma.github.io/Logging_1214/kartor_geotiff/A 11672-2024 georefererad karta.tif", "A 11672-2024")</f>
        <v/>
      </c>
      <c r="AA13">
        <f>HYPERLINK("https://klasma.github.io/Logging_1214/klagomål/A 11672-2024 FSC-klagomål.docx", "A 11672-2024")</f>
        <v/>
      </c>
      <c r="AB13">
        <f>HYPERLINK("https://klasma.github.io/Logging_1214/klagomålsmail/A 11672-2024 FSC-klagomål mail.docx", "A 11672-2024")</f>
        <v/>
      </c>
      <c r="AC13">
        <f>HYPERLINK("https://klasma.github.io/Logging_1214/tillsyn/A 11672-2024 tillsynsbegäran.docx", "A 11672-2024")</f>
        <v/>
      </c>
      <c r="AD13">
        <f>HYPERLINK("https://klasma.github.io/Logging_1214/tillsynsmail/A 11672-2024 tillsynsbegäran mail.docx", "A 11672-2024")</f>
        <v/>
      </c>
    </row>
    <row r="14" ht="15" customHeight="1">
      <c r="A14" t="inlineStr">
        <is>
          <t>A 1577-2024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46298</v>
      </c>
      <c r="F14" t="inlineStr">
        <is>
          <t>SKÅNE LÄN</t>
        </is>
      </c>
      <c r="G14" t="inlineStr">
        <is>
          <t>SVALÖV</t>
        </is>
      </c>
      <c r="I14" t="n">
        <v>21.2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Större vattensalamander</t>
        </is>
      </c>
      <c r="W14">
        <f>HYPERLINK("https://klasma.github.io/Logging_1214/artfynd/A 1577-2024 artfynd.xlsx", "A 1577-2024")</f>
        <v/>
      </c>
      <c r="X14">
        <f>HYPERLINK("https://klasma.github.io/Logging_1214/kartor/A 1577-2024 karta.png", "A 1577-2024")</f>
        <v/>
      </c>
      <c r="Y14">
        <f>HYPERLINK("https://klasma.github.io/Logging_1214/kartor_geotiff/A 1577-2024 georefererad karta.tif", "A 1577-2024")</f>
        <v/>
      </c>
      <c r="AA14">
        <f>HYPERLINK("https://klasma.github.io/Logging_1214/klagomål/A 1577-2024 FSC-klagomål.docx", "A 1577-2024")</f>
        <v/>
      </c>
      <c r="AB14">
        <f>HYPERLINK("https://klasma.github.io/Logging_1214/klagomålsmail/A 1577-2024 FSC-klagomål mail.docx", "A 1577-2024")</f>
        <v/>
      </c>
      <c r="AC14">
        <f>HYPERLINK("https://klasma.github.io/Logging_1214/tillsyn/A 1577-2024 tillsynsbegäran.docx", "A 1577-2024")</f>
        <v/>
      </c>
      <c r="AD14">
        <f>HYPERLINK("https://klasma.github.io/Logging_1214/tillsynsmail/A 1577-2024 tillsynsbegäran mail.docx", "A 1577-2024")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46298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46298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46298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46298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46298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46298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45306</v>
      </c>
      <c r="E29" s="1" t="n">
        <v>46298</v>
      </c>
      <c r="F29" t="inlineStr">
        <is>
          <t>SKÅNE LÄN</t>
        </is>
      </c>
      <c r="G29" t="inlineStr">
        <is>
          <t>SVALÖV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46298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46298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10209-2023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46298</v>
      </c>
      <c r="F32" t="inlineStr">
        <is>
          <t>SKÅNE LÄN</t>
        </is>
      </c>
      <c r="G32" t="inlineStr">
        <is>
          <t>SVALÖV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45793</v>
      </c>
      <c r="E33" s="1" t="n">
        <v>46298</v>
      </c>
      <c r="F33" t="inlineStr">
        <is>
          <t>SKÅNE LÄN</t>
        </is>
      </c>
      <c r="G33" t="inlineStr">
        <is>
          <t>SVALÖV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46298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46298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24513-2025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45798</v>
      </c>
      <c r="E36" s="1" t="n">
        <v>46298</v>
      </c>
      <c r="F36" t="inlineStr">
        <is>
          <t>SKÅNE LÄN</t>
        </is>
      </c>
      <c r="G36" t="inlineStr">
        <is>
          <t>SVALÖV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46298</v>
      </c>
      <c r="F37" t="inlineStr">
        <is>
          <t>SKÅNE LÄN</t>
        </is>
      </c>
      <c r="G37" t="inlineStr">
        <is>
          <t>SVALÖV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46298</v>
      </c>
      <c r="F38" t="inlineStr">
        <is>
          <t>SKÅNE LÄN</t>
        </is>
      </c>
      <c r="G38" t="inlineStr">
        <is>
          <t>SVALÖV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46298</v>
      </c>
      <c r="F39" t="inlineStr">
        <is>
          <t>SKÅNE LÄN</t>
        </is>
      </c>
      <c r="G39" t="inlineStr">
        <is>
          <t>SVALÖV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22262-2023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45070</v>
      </c>
      <c r="E40" s="1" t="n">
        <v>46298</v>
      </c>
      <c r="F40" t="inlineStr">
        <is>
          <t>SKÅNE LÄN</t>
        </is>
      </c>
      <c r="G40" t="inlineStr">
        <is>
          <t>SVALÖV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44600</v>
      </c>
      <c r="E41" s="1" t="n">
        <v>46298</v>
      </c>
      <c r="F41" t="inlineStr">
        <is>
          <t>SKÅNE LÄN</t>
        </is>
      </c>
      <c r="G41" t="inlineStr">
        <is>
          <t>SVALÖV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46298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46298</v>
      </c>
      <c r="F43" t="inlineStr">
        <is>
          <t>SKÅNE LÄN</t>
        </is>
      </c>
      <c r="G43" t="inlineStr">
        <is>
          <t>SVALÖV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46298</v>
      </c>
      <c r="F44" t="inlineStr">
        <is>
          <t>SKÅNE LÄN</t>
        </is>
      </c>
      <c r="G44" t="inlineStr">
        <is>
          <t>SVALÖV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45671</v>
      </c>
      <c r="E45" s="1" t="n">
        <v>46298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46298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46298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46298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46298</v>
      </c>
      <c r="F49" t="inlineStr">
        <is>
          <t>SKÅNE LÄN</t>
        </is>
      </c>
      <c r="G49" t="inlineStr">
        <is>
          <t>SVALÖV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46298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46298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46107</v>
      </c>
      <c r="E52" s="1" t="n">
        <v>46298</v>
      </c>
      <c r="F52" t="inlineStr">
        <is>
          <t>SKÅNE LÄN</t>
        </is>
      </c>
      <c r="G52" t="inlineStr">
        <is>
          <t>SVALÖV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46298</v>
      </c>
      <c r="F53" t="inlineStr">
        <is>
          <t>SKÅNE LÄN</t>
        </is>
      </c>
      <c r="G53" t="inlineStr">
        <is>
          <t>SVALÖV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46298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46298</v>
      </c>
      <c r="F55" t="inlineStr">
        <is>
          <t>SKÅNE LÄN</t>
        </is>
      </c>
      <c r="G55" t="inlineStr">
        <is>
          <t>SVALÖV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46298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46298</v>
      </c>
      <c r="F57" t="inlineStr">
        <is>
          <t>SKÅNE LÄN</t>
        </is>
      </c>
      <c r="G57" t="inlineStr">
        <is>
          <t>SVALÖV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45141</v>
      </c>
      <c r="E58" s="1" t="n">
        <v>46298</v>
      </c>
      <c r="F58" t="inlineStr">
        <is>
          <t>SKÅNE LÄN</t>
        </is>
      </c>
      <c r="G58" t="inlineStr">
        <is>
          <t>SVALÖV</t>
        </is>
      </c>
      <c r="I58" t="n">
        <v>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45531</v>
      </c>
      <c r="E59" s="1" t="n">
        <v>46298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19282-2025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45769</v>
      </c>
      <c r="E60" s="1" t="n">
        <v>46298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46298</v>
      </c>
      <c r="F61" t="inlineStr">
        <is>
          <t>SKÅNE LÄN</t>
        </is>
      </c>
      <c r="G61" t="inlineStr">
        <is>
          <t>SVALÖV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46298</v>
      </c>
      <c r="F62" t="inlineStr">
        <is>
          <t>SKÅNE LÄN</t>
        </is>
      </c>
      <c r="G62" t="inlineStr">
        <is>
          <t>SVALÖV</t>
        </is>
      </c>
      <c r="I62" t="n">
        <v>22.1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46298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46298</v>
      </c>
      <c r="F64" t="inlineStr">
        <is>
          <t>SKÅNE LÄN</t>
        </is>
      </c>
      <c r="G64" t="inlineStr">
        <is>
          <t>SVALÖV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46298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46298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17731-2025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45758</v>
      </c>
      <c r="E67" s="1" t="n">
        <v>46298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46298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46298</v>
      </c>
      <c r="F69" t="inlineStr">
        <is>
          <t>SKÅNE LÄN</t>
        </is>
      </c>
      <c r="G69" t="inlineStr">
        <is>
          <t>SVALÖV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46298</v>
      </c>
      <c r="F70" t="inlineStr">
        <is>
          <t>SKÅNE LÄN</t>
        </is>
      </c>
      <c r="G70" t="inlineStr">
        <is>
          <t>SVALÖV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46298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46298</v>
      </c>
      <c r="F72" t="inlineStr">
        <is>
          <t>SKÅNE LÄN</t>
        </is>
      </c>
      <c r="G72" t="inlineStr">
        <is>
          <t>SVALÖV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46298</v>
      </c>
      <c r="F73" t="inlineStr">
        <is>
          <t>SKÅNE LÄN</t>
        </is>
      </c>
      <c r="G73" t="inlineStr">
        <is>
          <t>SVALÖV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44670</v>
      </c>
      <c r="E74" s="1" t="n">
        <v>46298</v>
      </c>
      <c r="F74" t="inlineStr">
        <is>
          <t>SKÅNE LÄN</t>
        </is>
      </c>
      <c r="G74" t="inlineStr">
        <is>
          <t>SVALÖV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46169</v>
      </c>
      <c r="E75" s="1" t="n">
        <v>46298</v>
      </c>
      <c r="F75" t="inlineStr">
        <is>
          <t>SKÅNE LÄN</t>
        </is>
      </c>
      <c r="G75" t="inlineStr">
        <is>
          <t>SVALÖV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46298</v>
      </c>
      <c r="F76" t="inlineStr">
        <is>
          <t>SKÅNE LÄN</t>
        </is>
      </c>
      <c r="G76" t="inlineStr">
        <is>
          <t>SVALÖV</t>
        </is>
      </c>
      <c r="H76" t="inlineStr">
        <is>
          <t>Kyrkan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45895</v>
      </c>
      <c r="E77" s="1" t="n">
        <v>46298</v>
      </c>
      <c r="F77" t="inlineStr">
        <is>
          <t>SKÅNE LÄN</t>
        </is>
      </c>
      <c r="G77" t="inlineStr">
        <is>
          <t>SVALÖV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46298</v>
      </c>
      <c r="F78" t="inlineStr">
        <is>
          <t>SKÅNE LÄN</t>
        </is>
      </c>
      <c r="G78" t="inlineStr">
        <is>
          <t>SVALÖV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46298</v>
      </c>
      <c r="F79" t="inlineStr">
        <is>
          <t>SKÅNE LÄN</t>
        </is>
      </c>
      <c r="G79" t="inlineStr">
        <is>
          <t>SVALÖV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46298</v>
      </c>
      <c r="F80" t="inlineStr">
        <is>
          <t>SKÅNE LÄN</t>
        </is>
      </c>
      <c r="G80" t="inlineStr">
        <is>
          <t>SVALÖV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46298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46298</v>
      </c>
      <c r="F82" t="inlineStr">
        <is>
          <t>SKÅNE LÄN</t>
        </is>
      </c>
      <c r="G82" t="inlineStr">
        <is>
          <t>SVALÖV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46298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46298</v>
      </c>
      <c r="F84" t="inlineStr">
        <is>
          <t>SKÅNE LÄN</t>
        </is>
      </c>
      <c r="G84" t="inlineStr">
        <is>
          <t>SVALÖV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46298</v>
      </c>
      <c r="F85" t="inlineStr">
        <is>
          <t>SKÅNE LÄN</t>
        </is>
      </c>
      <c r="G85" t="inlineStr">
        <is>
          <t>SVALÖV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46210</v>
      </c>
      <c r="E86" s="1" t="n">
        <v>46298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46298</v>
      </c>
      <c r="F87" t="inlineStr">
        <is>
          <t>SKÅNE LÄN</t>
        </is>
      </c>
      <c r="G87" t="inlineStr">
        <is>
          <t>SVALÖV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46298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46298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46298</v>
      </c>
      <c r="F90" t="inlineStr">
        <is>
          <t>SKÅNE LÄN</t>
        </is>
      </c>
      <c r="G90" t="inlineStr">
        <is>
          <t>SVALÖV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46298</v>
      </c>
      <c r="F91" t="inlineStr">
        <is>
          <t>SKÅNE LÄN</t>
        </is>
      </c>
      <c r="G91" t="inlineStr">
        <is>
          <t>SVALÖV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44910</v>
      </c>
      <c r="E92" s="1" t="n">
        <v>46298</v>
      </c>
      <c r="F92" t="inlineStr">
        <is>
          <t>SKÅNE LÄN</t>
        </is>
      </c>
      <c r="G92" t="inlineStr">
        <is>
          <t>SVALÖV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46298</v>
      </c>
      <c r="F93" t="inlineStr">
        <is>
          <t>SKÅNE LÄN</t>
        </is>
      </c>
      <c r="G93" t="inlineStr">
        <is>
          <t>SVALÖV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46298</v>
      </c>
      <c r="F94" t="inlineStr">
        <is>
          <t>SKÅNE LÄN</t>
        </is>
      </c>
      <c r="G94" t="inlineStr">
        <is>
          <t>SVALÖV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44923</v>
      </c>
      <c r="E95" s="1" t="n">
        <v>46298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45182</v>
      </c>
      <c r="E96" s="1" t="n">
        <v>46298</v>
      </c>
      <c r="F96" t="inlineStr">
        <is>
          <t>SKÅNE LÄN</t>
        </is>
      </c>
      <c r="G96" t="inlineStr">
        <is>
          <t>SVALÖV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46298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45016</v>
      </c>
      <c r="E98" s="1" t="n">
        <v>46298</v>
      </c>
      <c r="F98" t="inlineStr">
        <is>
          <t>SKÅNE LÄN</t>
        </is>
      </c>
      <c r="G98" t="inlineStr">
        <is>
          <t>SVALÖV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46297</v>
      </c>
      <c r="E99" s="1" t="n">
        <v>46298</v>
      </c>
      <c r="F99" t="inlineStr">
        <is>
          <t>SKÅNE LÄN</t>
        </is>
      </c>
      <c r="G99" t="inlineStr">
        <is>
          <t>SVALÖV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46298</v>
      </c>
      <c r="F100" t="inlineStr">
        <is>
          <t>SKÅNE LÄN</t>
        </is>
      </c>
      <c r="G100" t="inlineStr">
        <is>
          <t>SVALÖV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46298</v>
      </c>
      <c r="F101" t="inlineStr">
        <is>
          <t>SKÅNE LÄN</t>
        </is>
      </c>
      <c r="G101" t="inlineStr">
        <is>
          <t>SVALÖV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46297</v>
      </c>
      <c r="E102" s="1" t="n">
        <v>46298</v>
      </c>
      <c r="F102" t="inlineStr">
        <is>
          <t>SKÅNE LÄN</t>
        </is>
      </c>
      <c r="G102" t="inlineStr">
        <is>
          <t>SVALÖV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44930</v>
      </c>
      <c r="E103" s="1" t="n">
        <v>46298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46298</v>
      </c>
      <c r="F104" t="inlineStr">
        <is>
          <t>SKÅNE LÄN</t>
        </is>
      </c>
      <c r="G104" t="inlineStr">
        <is>
          <t>SVALÖV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46298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46298</v>
      </c>
      <c r="F106" t="inlineStr">
        <is>
          <t>SKÅNE LÄN</t>
        </is>
      </c>
      <c r="G106" t="inlineStr">
        <is>
          <t>SVALÖV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4149-2022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44588</v>
      </c>
      <c r="E107" s="1" t="n">
        <v>46298</v>
      </c>
      <c r="F107" t="inlineStr">
        <is>
          <t>SKÅNE LÄN</t>
        </is>
      </c>
      <c r="G107" t="inlineStr">
        <is>
          <t>SVALÖV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46298</v>
      </c>
      <c r="F108" t="inlineStr">
        <is>
          <t>SKÅNE LÄN</t>
        </is>
      </c>
      <c r="G108" t="inlineStr">
        <is>
          <t>SVALÖV</t>
        </is>
      </c>
      <c r="I108" t="n">
        <v>13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45783</v>
      </c>
      <c r="E109" s="1" t="n">
        <v>46298</v>
      </c>
      <c r="F109" t="inlineStr">
        <is>
          <t>SKÅNE LÄN</t>
        </is>
      </c>
      <c r="G109" t="inlineStr">
        <is>
          <t>SVALÖV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46298</v>
      </c>
      <c r="F110" t="inlineStr">
        <is>
          <t>SKÅNE LÄN</t>
        </is>
      </c>
      <c r="G110" t="inlineStr">
        <is>
          <t>SVALÖV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46298</v>
      </c>
      <c r="F111" t="inlineStr">
        <is>
          <t>SKÅNE LÄN</t>
        </is>
      </c>
      <c r="G111" t="inlineStr">
        <is>
          <t>SVALÖV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46298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2026-10-03T01:58:38Z</dcterms:modified>
</cp:coreProperties>
</file>