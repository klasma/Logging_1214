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43326-2025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45910</v>
      </c>
      <c r="E2" s="1" t="n">
        <v>46319</v>
      </c>
      <c r="F2" t="inlineStr">
        <is>
          <t>SKÅNE LÄN</t>
        </is>
      </c>
      <c r="G2" t="inlineStr">
        <is>
          <t>SVALÖV</t>
        </is>
      </c>
      <c r="I2" t="n">
        <v>2.1</v>
      </c>
      <c r="J2" t="n">
        <v>4</v>
      </c>
      <c r="K2" t="n">
        <v>0</v>
      </c>
      <c r="L2" t="n">
        <v>3</v>
      </c>
      <c r="M2" t="n">
        <v>0</v>
      </c>
      <c r="N2" t="n">
        <v>0</v>
      </c>
      <c r="O2" t="n">
        <v>0</v>
      </c>
      <c r="P2" t="n">
        <v>0</v>
      </c>
      <c r="Q2" t="n">
        <v>3</v>
      </c>
      <c r="R2" t="n">
        <v>0</v>
      </c>
      <c r="S2" t="n">
        <v>4</v>
      </c>
      <c r="T2" t="n">
        <v>5</v>
      </c>
      <c r="U2" t="n">
        <v>5</v>
      </c>
      <c r="V2" s="2" t="inlineStr">
        <is>
          <t>Entita
Gulsparv
Mindre hackspett
Spillkråka</t>
        </is>
      </c>
      <c r="W2">
        <f>HYPERLINK("https://klasma.github.io/Logging_1214/artfynd/A 43326-2025 artfynd.xlsx", "A 43326-2025")</f>
        <v/>
      </c>
      <c r="X2">
        <f>HYPERLINK("https://klasma.github.io/Logging_1214/kartor/A 43326-2025 karta.png", "A 43326-2025")</f>
        <v/>
      </c>
      <c r="Y2">
        <f>HYPERLINK("https://klasma.github.io/Logging_1214/kartor_geotiff/A 43326-2025 georefererad karta.tif", "A 43326-2025")</f>
        <v/>
      </c>
      <c r="AA2">
        <f>HYPERLINK("https://klasma.github.io/Logging_1214/klagomål/A 43326-2025 FSC-klagomål.docx", "A 43326-2025")</f>
        <v/>
      </c>
      <c r="AB2">
        <f>HYPERLINK("https://klasma.github.io/Logging_1214/klagomålsmail/A 43326-2025 FSC-klagomål mail.docx", "A 43326-2025")</f>
        <v/>
      </c>
      <c r="AC2">
        <f>HYPERLINK("https://klasma.github.io/Logging_1214/tillsyn/A 43326-2025 tillsynsbegäran.docx", "A 43326-2025")</f>
        <v/>
      </c>
      <c r="AD2">
        <f>HYPERLINK("https://klasma.github.io/Logging_1214/tillsynsmail/A 43326-2025 tillsynsbegäran mail.docx", "A 43326-2025")</f>
        <v/>
      </c>
      <c r="AE2">
        <f>HYPERLINK("https://klasma.github.io/Logging_1214/fåglar/A 43326-2025 prioriterade fågelarter.docx", "A 43326-2025")</f>
        <v/>
      </c>
    </row>
    <row r="3" ht="15" customHeight="1">
      <c r="A3" t="inlineStr">
        <is>
          <t>A 39165-2024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45548</v>
      </c>
      <c r="E3" s="1" t="n">
        <v>46319</v>
      </c>
      <c r="F3" t="inlineStr">
        <is>
          <t>SKÅNE LÄN</t>
        </is>
      </c>
      <c r="G3" t="inlineStr">
        <is>
          <t>SVALÖV</t>
        </is>
      </c>
      <c r="I3" t="n">
        <v>2.9</v>
      </c>
      <c r="J3" t="n">
        <v>0</v>
      </c>
      <c r="K3" t="n">
        <v>0</v>
      </c>
      <c r="L3" t="n">
        <v>0</v>
      </c>
      <c r="M3" t="n">
        <v>1</v>
      </c>
      <c r="N3" t="n">
        <v>2</v>
      </c>
      <c r="O3" t="n">
        <v>0</v>
      </c>
      <c r="P3" t="n">
        <v>0</v>
      </c>
      <c r="Q3" t="n">
        <v>3</v>
      </c>
      <c r="R3" t="n">
        <v>3</v>
      </c>
      <c r="S3" t="n">
        <v>3</v>
      </c>
      <c r="T3" t="n">
        <v>3</v>
      </c>
      <c r="U3" t="n">
        <v>1</v>
      </c>
      <c r="V3" s="2" t="inlineStr">
        <is>
          <t>Ask
Skogsalm
Getingrovfluga</t>
        </is>
      </c>
      <c r="W3">
        <f>HYPERLINK("https://klasma.github.io/Logging_1214/artfynd/A 39165-2024 artfynd.xlsx", "A 39165-2024")</f>
        <v/>
      </c>
      <c r="X3">
        <f>HYPERLINK("https://klasma.github.io/Logging_1214/kartor/A 39165-2024 karta.png", "A 39165-2024")</f>
        <v/>
      </c>
      <c r="Y3">
        <f>HYPERLINK("https://klasma.github.io/Logging_1214/kartor_geotiff/A 39165-2024 georefererad karta.tif", "A 39165-2024")</f>
        <v/>
      </c>
      <c r="AA3">
        <f>HYPERLINK("https://klasma.github.io/Logging_1214/klagomål/A 39165-2024 FSC-klagomål.docx", "A 39165-2024")</f>
        <v/>
      </c>
      <c r="AB3">
        <f>HYPERLINK("https://klasma.github.io/Logging_1214/klagomålsmail/A 39165-2024 FSC-klagomål mail.docx", "A 39165-2024")</f>
        <v/>
      </c>
      <c r="AC3">
        <f>HYPERLINK("https://klasma.github.io/Logging_1214/tillsyn/A 39165-2024 tillsynsbegäran.docx", "A 39165-2024")</f>
        <v/>
      </c>
      <c r="AD3">
        <f>HYPERLINK("https://klasma.github.io/Logging_1214/tillsynsmail/A 39165-2024 tillsynsbegäran mail.docx", "A 39165-2024")</f>
        <v/>
      </c>
    </row>
    <row r="4" ht="15" customHeight="1">
      <c r="A4" t="inlineStr">
        <is>
          <t>A 15475-2024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45401</v>
      </c>
      <c r="E4" s="1" t="n">
        <v>46319</v>
      </c>
      <c r="F4" t="inlineStr">
        <is>
          <t>SKÅNE LÄN</t>
        </is>
      </c>
      <c r="G4" t="inlineStr">
        <is>
          <t>SVALÖV</t>
        </is>
      </c>
      <c r="I4" t="n">
        <v>4.7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1</v>
      </c>
      <c r="S4" t="n">
        <v>2</v>
      </c>
      <c r="T4" t="n">
        <v>2</v>
      </c>
      <c r="U4" t="n">
        <v>1</v>
      </c>
      <c r="V4" s="2" t="inlineStr">
        <is>
          <t>Ask
Strutbräken</t>
        </is>
      </c>
      <c r="W4">
        <f>HYPERLINK("https://klasma.github.io/Logging_1214/artfynd/A 15475-2024 artfynd.xlsx", "A 15475-2024")</f>
        <v/>
      </c>
      <c r="X4">
        <f>HYPERLINK("https://klasma.github.io/Logging_1214/kartor/A 15475-2024 karta.png", "A 15475-2024")</f>
        <v/>
      </c>
      <c r="Y4">
        <f>HYPERLINK("https://klasma.github.io/Logging_1214/kartor_geotiff/A 15475-2024 georefererad karta.tif", "A 15475-2024")</f>
        <v/>
      </c>
      <c r="AA4">
        <f>HYPERLINK("https://klasma.github.io/Logging_1214/klagomål/A 15475-2024 FSC-klagomål.docx", "A 15475-2024")</f>
        <v/>
      </c>
      <c r="AB4">
        <f>HYPERLINK("https://klasma.github.io/Logging_1214/klagomålsmail/A 15475-2024 FSC-klagomål mail.docx", "A 15475-2024")</f>
        <v/>
      </c>
      <c r="AC4">
        <f>HYPERLINK("https://klasma.github.io/Logging_1214/tillsyn/A 15475-2024 tillsynsbegäran.docx", "A 15475-2024")</f>
        <v/>
      </c>
      <c r="AD4">
        <f>HYPERLINK("https://klasma.github.io/Logging_1214/tillsynsmail/A 15475-2024 tillsynsbegäran mail.docx", "A 15475-2024")</f>
        <v/>
      </c>
    </row>
    <row r="5" ht="15" customHeight="1">
      <c r="A5" t="inlineStr">
        <is>
          <t>A 38522-2025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45884</v>
      </c>
      <c r="E5" s="1" t="n">
        <v>46319</v>
      </c>
      <c r="F5" t="inlineStr">
        <is>
          <t>SKÅNE LÄN</t>
        </is>
      </c>
      <c r="G5" t="inlineStr">
        <is>
          <t>SVALÖV</t>
        </is>
      </c>
      <c r="I5" t="n">
        <v>2.6</v>
      </c>
      <c r="J5" t="n">
        <v>1</v>
      </c>
      <c r="K5" t="n">
        <v>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</v>
      </c>
      <c r="T5" t="n">
        <v>2</v>
      </c>
      <c r="U5" t="n">
        <v>0</v>
      </c>
      <c r="V5" s="2" t="inlineStr">
        <is>
          <t>Skogsknipprot
Stor häxört</t>
        </is>
      </c>
      <c r="W5">
        <f>HYPERLINK("https://klasma.github.io/Logging_1214/artfynd/A 38522-2025 artfynd.xlsx", "A 38522-2025")</f>
        <v/>
      </c>
      <c r="X5">
        <f>HYPERLINK("https://klasma.github.io/Logging_1214/kartor/A 38522-2025 karta.png", "A 38522-2025")</f>
        <v/>
      </c>
      <c r="Y5">
        <f>HYPERLINK("https://klasma.github.io/Logging_1214/kartor_geotiff/A 38522-2025 georefererad karta.tif", "A 38522-2025")</f>
        <v/>
      </c>
      <c r="AA5">
        <f>HYPERLINK("https://klasma.github.io/Logging_1214/klagomål/A 38522-2025 FSC-klagomål.docx", "A 38522-2025")</f>
        <v/>
      </c>
      <c r="AB5">
        <f>HYPERLINK("https://klasma.github.io/Logging_1214/klagomålsmail/A 38522-2025 FSC-klagomål mail.docx", "A 38522-2025")</f>
        <v/>
      </c>
      <c r="AC5">
        <f>HYPERLINK("https://klasma.github.io/Logging_1214/tillsyn/A 38522-2025 tillsynsbegäran.docx", "A 38522-2025")</f>
        <v/>
      </c>
      <c r="AD5">
        <f>HYPERLINK("https://klasma.github.io/Logging_1214/tillsynsmail/A 38522-2025 tillsynsbegäran mail.docx", "A 38522-2025")</f>
        <v/>
      </c>
    </row>
    <row r="6" ht="15" customHeight="1">
      <c r="A6" t="inlineStr">
        <is>
          <t>A 61064-2024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45645</v>
      </c>
      <c r="E6" s="1" t="n">
        <v>46319</v>
      </c>
      <c r="F6" t="inlineStr">
        <is>
          <t>SKÅNE LÄN</t>
        </is>
      </c>
      <c r="G6" t="inlineStr">
        <is>
          <t>SVALÖV</t>
        </is>
      </c>
      <c r="I6" t="n">
        <v>5.6</v>
      </c>
      <c r="J6" t="n">
        <v>1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1</v>
      </c>
      <c r="S6" t="n">
        <v>2</v>
      </c>
      <c r="T6" t="n">
        <v>2</v>
      </c>
      <c r="U6" t="n">
        <v>0</v>
      </c>
      <c r="V6" s="2" t="inlineStr">
        <is>
          <t>Ask
Skogsknipprot</t>
        </is>
      </c>
      <c r="W6">
        <f>HYPERLINK("https://klasma.github.io/Logging_1214/artfynd/A 61064-2024 artfynd.xlsx", "A 61064-2024")</f>
        <v/>
      </c>
      <c r="X6">
        <f>HYPERLINK("https://klasma.github.io/Logging_1214/kartor/A 61064-2024 karta.png", "A 61064-2024")</f>
        <v/>
      </c>
      <c r="Y6">
        <f>HYPERLINK("https://klasma.github.io/Logging_1214/kartor_geotiff/A 61064-2024 georefererad karta.tif", "A 61064-2024")</f>
        <v/>
      </c>
      <c r="AA6">
        <f>HYPERLINK("https://klasma.github.io/Logging_1214/klagomål/A 61064-2024 FSC-klagomål.docx", "A 61064-2024")</f>
        <v/>
      </c>
      <c r="AB6">
        <f>HYPERLINK("https://klasma.github.io/Logging_1214/klagomålsmail/A 61064-2024 FSC-klagomål mail.docx", "A 61064-2024")</f>
        <v/>
      </c>
      <c r="AC6">
        <f>HYPERLINK("https://klasma.github.io/Logging_1214/tillsyn/A 61064-2024 tillsynsbegäran.docx", "A 61064-2024")</f>
        <v/>
      </c>
      <c r="AD6">
        <f>HYPERLINK("https://klasma.github.io/Logging_1214/tillsynsmail/A 61064-2024 tillsynsbegäran mail.docx", "A 61064-2024")</f>
        <v/>
      </c>
    </row>
    <row r="7" ht="15" customHeight="1">
      <c r="A7" t="inlineStr">
        <is>
          <t>A 15456-2024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45401</v>
      </c>
      <c r="E7" s="1" t="n">
        <v>46319</v>
      </c>
      <c r="F7" t="inlineStr">
        <is>
          <t>SKÅNE LÄN</t>
        </is>
      </c>
      <c r="G7" t="inlineStr">
        <is>
          <t>SVALÖV</t>
        </is>
      </c>
      <c r="I7" t="n">
        <v>2.5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s="2" t="inlineStr">
        <is>
          <t>Lundticka</t>
        </is>
      </c>
      <c r="W7">
        <f>HYPERLINK("https://klasma.github.io/Logging_1214/artfynd/A 15456-2024 artfynd.xlsx", "A 15456-2024")</f>
        <v/>
      </c>
      <c r="X7">
        <f>HYPERLINK("https://klasma.github.io/Logging_1214/kartor/A 15456-2024 karta.png", "A 15456-2024")</f>
        <v/>
      </c>
      <c r="Y7">
        <f>HYPERLINK("https://klasma.github.io/Logging_1214/kartor_geotiff/A 15456-2024 georefererad karta.tif", "A 15456-2024")</f>
        <v/>
      </c>
      <c r="AA7">
        <f>HYPERLINK("https://klasma.github.io/Logging_1214/klagomål/A 15456-2024 FSC-klagomål.docx", "A 15456-2024")</f>
        <v/>
      </c>
      <c r="AB7">
        <f>HYPERLINK("https://klasma.github.io/Logging_1214/klagomålsmail/A 15456-2024 FSC-klagomål mail.docx", "A 15456-2024")</f>
        <v/>
      </c>
      <c r="AC7">
        <f>HYPERLINK("https://klasma.github.io/Logging_1214/tillsyn/A 15456-2024 tillsynsbegäran.docx", "A 15456-2024")</f>
        <v/>
      </c>
      <c r="AD7">
        <f>HYPERLINK("https://klasma.github.io/Logging_1214/tillsynsmail/A 15456-2024 tillsynsbegäran mail.docx", "A 15456-2024")</f>
        <v/>
      </c>
    </row>
    <row r="8" ht="15" customHeight="1">
      <c r="A8" t="inlineStr">
        <is>
          <t>A 54127-2025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45964</v>
      </c>
      <c r="E8" s="1" t="n">
        <v>46319</v>
      </c>
      <c r="F8" t="inlineStr">
        <is>
          <t>SKÅNE LÄN</t>
        </is>
      </c>
      <c r="G8" t="inlineStr">
        <is>
          <t>SVALÖV</t>
        </is>
      </c>
      <c r="I8" t="n">
        <v>1.3</v>
      </c>
      <c r="J8" t="n">
        <v>1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1</v>
      </c>
      <c r="U8" t="n">
        <v>1</v>
      </c>
      <c r="V8" s="2" t="inlineStr">
        <is>
          <t>Entita</t>
        </is>
      </c>
      <c r="W8">
        <f>HYPERLINK("https://klasma.github.io/Logging_1214/artfynd/A 54127-2025 artfynd.xlsx", "A 54127-2025")</f>
        <v/>
      </c>
      <c r="X8">
        <f>HYPERLINK("https://klasma.github.io/Logging_1214/kartor/A 54127-2025 karta.png", "A 54127-2025")</f>
        <v/>
      </c>
      <c r="Y8">
        <f>HYPERLINK("https://klasma.github.io/Logging_1214/kartor_geotiff/A 54127-2025 georefererad karta.tif", "A 54127-2025")</f>
        <v/>
      </c>
      <c r="AA8">
        <f>HYPERLINK("https://klasma.github.io/Logging_1214/klagomål/A 54127-2025 FSC-klagomål.docx", "A 54127-2025")</f>
        <v/>
      </c>
      <c r="AB8">
        <f>HYPERLINK("https://klasma.github.io/Logging_1214/klagomålsmail/A 54127-2025 FSC-klagomål mail.docx", "A 54127-2025")</f>
        <v/>
      </c>
      <c r="AC8">
        <f>HYPERLINK("https://klasma.github.io/Logging_1214/tillsyn/A 54127-2025 tillsynsbegäran.docx", "A 54127-2025")</f>
        <v/>
      </c>
      <c r="AD8">
        <f>HYPERLINK("https://klasma.github.io/Logging_1214/tillsynsmail/A 54127-2025 tillsynsbegäran mail.docx", "A 54127-2025")</f>
        <v/>
      </c>
      <c r="AE8">
        <f>HYPERLINK("https://klasma.github.io/Logging_1214/fåglar/A 54127-2025 prioriterade fågelarter.docx", "A 54127-2025")</f>
        <v/>
      </c>
    </row>
    <row r="9" ht="15" customHeight="1">
      <c r="A9" t="inlineStr">
        <is>
          <t>A 8169-2024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45351</v>
      </c>
      <c r="E9" s="1" t="n">
        <v>46319</v>
      </c>
      <c r="F9" t="inlineStr">
        <is>
          <t>SKÅNE LÄN</t>
        </is>
      </c>
      <c r="G9" t="inlineStr">
        <is>
          <t>SVALÖV</t>
        </is>
      </c>
      <c r="I9" t="n">
        <v>3.1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1</v>
      </c>
      <c r="U9" t="n">
        <v>0</v>
      </c>
      <c r="V9" s="2" t="inlineStr">
        <is>
          <t>Mjukdån</t>
        </is>
      </c>
      <c r="W9">
        <f>HYPERLINK("https://klasma.github.io/Logging_1214/artfynd/A 8169-2024 artfynd.xlsx", "A 8169-2024")</f>
        <v/>
      </c>
      <c r="X9">
        <f>HYPERLINK("https://klasma.github.io/Logging_1214/kartor/A 8169-2024 karta.png", "A 8169-2024")</f>
        <v/>
      </c>
      <c r="Y9">
        <f>HYPERLINK("https://klasma.github.io/Logging_1214/kartor_geotiff/A 8169-2024 georefererad karta.tif", "A 8169-2024")</f>
        <v/>
      </c>
      <c r="AA9">
        <f>HYPERLINK("https://klasma.github.io/Logging_1214/klagomål/A 8169-2024 FSC-klagomål.docx", "A 8169-2024")</f>
        <v/>
      </c>
      <c r="AB9">
        <f>HYPERLINK("https://klasma.github.io/Logging_1214/klagomålsmail/A 8169-2024 FSC-klagomål mail.docx", "A 8169-2024")</f>
        <v/>
      </c>
      <c r="AC9">
        <f>HYPERLINK("https://klasma.github.io/Logging_1214/tillsyn/A 8169-2024 tillsynsbegäran.docx", "A 8169-2024")</f>
        <v/>
      </c>
      <c r="AD9">
        <f>HYPERLINK("https://klasma.github.io/Logging_1214/tillsynsmail/A 8169-2024 tillsynsbegäran mail.docx", "A 8169-2024")</f>
        <v/>
      </c>
    </row>
    <row r="10" ht="15" customHeight="1">
      <c r="A10" t="inlineStr">
        <is>
          <t>A 1577-2024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45306</v>
      </c>
      <c r="E10" s="1" t="n">
        <v>46319</v>
      </c>
      <c r="F10" t="inlineStr">
        <is>
          <t>SKÅNE LÄN</t>
        </is>
      </c>
      <c r="G10" t="inlineStr">
        <is>
          <t>SVALÖV</t>
        </is>
      </c>
      <c r="I10" t="n">
        <v>21.2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0</v>
      </c>
      <c r="V10" s="2" t="inlineStr">
        <is>
          <t>Större vattensalamander</t>
        </is>
      </c>
      <c r="W10">
        <f>HYPERLINK("https://klasma.github.io/Logging_1214/artfynd/A 1577-2024 artfynd.xlsx", "A 1577-2024")</f>
        <v/>
      </c>
      <c r="X10">
        <f>HYPERLINK("https://klasma.github.io/Logging_1214/kartor/A 1577-2024 karta.png", "A 1577-2024")</f>
        <v/>
      </c>
      <c r="Y10">
        <f>HYPERLINK("https://klasma.github.io/Logging_1214/kartor_geotiff/A 1577-2024 georefererad karta.tif", "A 1577-2024")</f>
        <v/>
      </c>
      <c r="AA10">
        <f>HYPERLINK("https://klasma.github.io/Logging_1214/klagomål/A 1577-2024 FSC-klagomål.docx", "A 1577-2024")</f>
        <v/>
      </c>
      <c r="AB10">
        <f>HYPERLINK("https://klasma.github.io/Logging_1214/klagomålsmail/A 1577-2024 FSC-klagomål mail.docx", "A 1577-2024")</f>
        <v/>
      </c>
      <c r="AC10">
        <f>HYPERLINK("https://klasma.github.io/Logging_1214/tillsyn/A 1577-2024 tillsynsbegäran.docx", "A 1577-2024")</f>
        <v/>
      </c>
      <c r="AD10">
        <f>HYPERLINK("https://klasma.github.io/Logging_1214/tillsynsmail/A 1577-2024 tillsynsbegäran mail.docx", "A 1577-2024")</f>
        <v/>
      </c>
    </row>
    <row r="11" ht="15" customHeight="1">
      <c r="A11" t="inlineStr">
        <is>
          <t>A 20125-2024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45434</v>
      </c>
      <c r="E11" s="1" t="n">
        <v>46319</v>
      </c>
      <c r="F11" t="inlineStr">
        <is>
          <t>SKÅNE LÄN</t>
        </is>
      </c>
      <c r="G11" t="inlineStr">
        <is>
          <t>SVALÖV</t>
        </is>
      </c>
      <c r="I11" t="n">
        <v>5.7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0</v>
      </c>
      <c r="V11" s="2" t="inlineStr">
        <is>
          <t>Myskmadra</t>
        </is>
      </c>
      <c r="W11">
        <f>HYPERLINK("https://klasma.github.io/Logging_1214/artfynd/A 20125-2024 artfynd.xlsx", "A 20125-2024")</f>
        <v/>
      </c>
      <c r="X11">
        <f>HYPERLINK("https://klasma.github.io/Logging_1214/kartor/A 20125-2024 karta.png", "A 20125-2024")</f>
        <v/>
      </c>
      <c r="Y11">
        <f>HYPERLINK("https://klasma.github.io/Logging_1214/kartor_geotiff/A 20125-2024 georefererad karta.tif", "A 20125-2024")</f>
        <v/>
      </c>
      <c r="AA11">
        <f>HYPERLINK("https://klasma.github.io/Logging_1214/klagomål/A 20125-2024 FSC-klagomål.docx", "A 20125-2024")</f>
        <v/>
      </c>
      <c r="AB11">
        <f>HYPERLINK("https://klasma.github.io/Logging_1214/klagomålsmail/A 20125-2024 FSC-klagomål mail.docx", "A 20125-2024")</f>
        <v/>
      </c>
      <c r="AC11">
        <f>HYPERLINK("https://klasma.github.io/Logging_1214/tillsyn/A 20125-2024 tillsynsbegäran.docx", "A 20125-2024")</f>
        <v/>
      </c>
      <c r="AD11">
        <f>HYPERLINK("https://klasma.github.io/Logging_1214/tillsynsmail/A 20125-2024 tillsynsbegäran mail.docx", "A 20125-2024")</f>
        <v/>
      </c>
    </row>
    <row r="12" ht="15" customHeight="1">
      <c r="A12" t="inlineStr">
        <is>
          <t>A 11672-2024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45373</v>
      </c>
      <c r="E12" s="1" t="n">
        <v>46319</v>
      </c>
      <c r="F12" t="inlineStr">
        <is>
          <t>SKÅNE LÄN</t>
        </is>
      </c>
      <c r="G12" t="inlineStr">
        <is>
          <t>SVALÖV</t>
        </is>
      </c>
      <c r="I12" t="n">
        <v>13.9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1</v>
      </c>
      <c r="U12" t="n">
        <v>1</v>
      </c>
      <c r="V12" s="2" t="inlineStr">
        <is>
          <t>Skogsveronika</t>
        </is>
      </c>
      <c r="W12">
        <f>HYPERLINK("https://klasma.github.io/Logging_1214/artfynd/A 11672-2024 artfynd.xlsx", "A 11672-2024")</f>
        <v/>
      </c>
      <c r="X12">
        <f>HYPERLINK("https://klasma.github.io/Logging_1214/kartor/A 11672-2024 karta.png", "A 11672-2024")</f>
        <v/>
      </c>
      <c r="Y12">
        <f>HYPERLINK("https://klasma.github.io/Logging_1214/kartor_geotiff/A 11672-2024 georefererad karta.tif", "A 11672-2024")</f>
        <v/>
      </c>
      <c r="AA12">
        <f>HYPERLINK("https://klasma.github.io/Logging_1214/klagomål/A 11672-2024 FSC-klagomål.docx", "A 11672-2024")</f>
        <v/>
      </c>
      <c r="AB12">
        <f>HYPERLINK("https://klasma.github.io/Logging_1214/klagomålsmail/A 11672-2024 FSC-klagomål mail.docx", "A 11672-2024")</f>
        <v/>
      </c>
      <c r="AC12">
        <f>HYPERLINK("https://klasma.github.io/Logging_1214/tillsyn/A 11672-2024 tillsynsbegäran.docx", "A 11672-2024")</f>
        <v/>
      </c>
      <c r="AD12">
        <f>HYPERLINK("https://klasma.github.io/Logging_1214/tillsynsmail/A 11672-2024 tillsynsbegäran mail.docx", "A 11672-2024")</f>
        <v/>
      </c>
    </row>
    <row r="13" ht="15" customHeight="1">
      <c r="A13" t="inlineStr">
        <is>
          <t>A 52664-2023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45225</v>
      </c>
      <c r="E13" s="1" t="n">
        <v>46319</v>
      </c>
      <c r="F13" t="inlineStr">
        <is>
          <t>SKÅNE LÄN</t>
        </is>
      </c>
      <c r="G13" t="inlineStr">
        <is>
          <t>SVALÖV</t>
        </is>
      </c>
      <c r="I13" t="n">
        <v>6.4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1</v>
      </c>
      <c r="U13" t="n">
        <v>0</v>
      </c>
      <c r="V13" s="2" t="inlineStr">
        <is>
          <t>Skogsknipprot</t>
        </is>
      </c>
      <c r="W13">
        <f>HYPERLINK("https://klasma.github.io/Logging_1214/artfynd/A 52664-2023 artfynd.xlsx", "A 52664-2023")</f>
        <v/>
      </c>
      <c r="X13">
        <f>HYPERLINK("https://klasma.github.io/Logging_1214/kartor/A 52664-2023 karta.png", "A 52664-2023")</f>
        <v/>
      </c>
      <c r="Y13">
        <f>HYPERLINK("https://klasma.github.io/Logging_1214/kartor_geotiff/A 52664-2023 georefererad karta.tif", "A 52664-2023")</f>
        <v/>
      </c>
      <c r="AA13">
        <f>HYPERLINK("https://klasma.github.io/Logging_1214/klagomål/A 52664-2023 FSC-klagomål.docx", "A 52664-2023")</f>
        <v/>
      </c>
      <c r="AB13">
        <f>HYPERLINK("https://klasma.github.io/Logging_1214/klagomålsmail/A 52664-2023 FSC-klagomål mail.docx", "A 52664-2023")</f>
        <v/>
      </c>
      <c r="AC13">
        <f>HYPERLINK("https://klasma.github.io/Logging_1214/tillsyn/A 52664-2023 tillsynsbegäran.docx", "A 52664-2023")</f>
        <v/>
      </c>
      <c r="AD13">
        <f>HYPERLINK("https://klasma.github.io/Logging_1214/tillsynsmail/A 52664-2023 tillsynsbegäran mail.docx", "A 52664-2023")</f>
        <v/>
      </c>
    </row>
    <row r="14" ht="15" customHeight="1">
      <c r="A14" t="inlineStr">
        <is>
          <t>A 11170-2023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44987</v>
      </c>
      <c r="E14" s="1" t="n">
        <v>46319</v>
      </c>
      <c r="F14" t="inlineStr">
        <is>
          <t>SKÅNE LÄN</t>
        </is>
      </c>
      <c r="G14" t="inlineStr">
        <is>
          <t>SVALÖV</t>
        </is>
      </c>
      <c r="I14" t="n">
        <v>0.9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s="2" t="inlineStr">
        <is>
          <t>Korndådra</t>
        </is>
      </c>
      <c r="W14">
        <f>HYPERLINK("https://klasma.github.io/Logging_1214/artfynd/A 11170-2023 artfynd.xlsx", "A 11170-2023")</f>
        <v/>
      </c>
      <c r="X14">
        <f>HYPERLINK("https://klasma.github.io/Logging_1214/kartor/A 11170-2023 karta.png", "A 11170-2023")</f>
        <v/>
      </c>
      <c r="Y14">
        <f>HYPERLINK("https://klasma.github.io/Logging_1214/kartor_geotiff/A 11170-2023 georefererad karta.tif", "A 11170-2023")</f>
        <v/>
      </c>
      <c r="AA14">
        <f>HYPERLINK("https://klasma.github.io/Logging_1214/klagomål/A 11170-2023 FSC-klagomål.docx", "A 11170-2023")</f>
        <v/>
      </c>
      <c r="AB14">
        <f>HYPERLINK("https://klasma.github.io/Logging_1214/klagomålsmail/A 11170-2023 FSC-klagomål mail.docx", "A 11170-2023")</f>
        <v/>
      </c>
      <c r="AC14">
        <f>HYPERLINK("https://klasma.github.io/Logging_1214/tillsyn/A 11170-2023 tillsynsbegäran.docx", "A 11170-2023")</f>
        <v/>
      </c>
      <c r="AD14">
        <f>HYPERLINK("https://klasma.github.io/Logging_1214/tillsynsmail/A 11170-2023 tillsynsbegäran mail.docx", "A 11170-2023")</f>
        <v/>
      </c>
    </row>
    <row r="15" ht="15" customHeight="1">
      <c r="A15" t="inlineStr">
        <is>
          <t>S 3685-2023</t>
        </is>
      </c>
      <c r="B15" t="inlineStr">
        <is>
          <t>samrådsanmälan</t>
        </is>
      </c>
      <c r="C15" t="inlineStr">
        <is>
          <t>Askåterföring</t>
        </is>
      </c>
      <c r="D15" s="1" t="n">
        <v>45218</v>
      </c>
      <c r="E15" s="1" t="n">
        <v>46319</v>
      </c>
      <c r="F15" t="inlineStr">
        <is>
          <t>SKÅNE LÄN</t>
        </is>
      </c>
      <c r="G15" t="inlineStr">
        <is>
          <t>SVALÖV</t>
        </is>
      </c>
      <c r="I15" t="n">
        <v>40.1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0</v>
      </c>
      <c r="V15" s="2" t="inlineStr">
        <is>
          <t>Noshornsoxe</t>
        </is>
      </c>
      <c r="W15">
        <f>HYPERLINK("https://klasma.github.io/Logging_1214/artfynd/S 3685-2023 artfynd.xlsx", "S 3685-2023")</f>
        <v/>
      </c>
      <c r="X15">
        <f>HYPERLINK("https://klasma.github.io/Logging_1214/kartor/S 3685-2023 karta.png", "S 3685-2023")</f>
        <v/>
      </c>
      <c r="Y15">
        <f>HYPERLINK("https://klasma.github.io/Logging_1214/kartor_geotiff/S 3685-2023 georefererad karta.tif", "S 3685-2023")</f>
        <v/>
      </c>
      <c r="AA15">
        <f>HYPERLINK("https://klasma.github.io/Logging_1214/klagomål/S 3685-2023 FSC-klagomål.docx", "S 3685-2023")</f>
        <v/>
      </c>
      <c r="AB15">
        <f>HYPERLINK("https://klasma.github.io/Logging_1214/klagomålsmail/S 3685-2023 FSC-klagomål mail.docx", "S 3685-2023")</f>
        <v/>
      </c>
      <c r="AC15">
        <f>HYPERLINK("https://klasma.github.io/Logging_1214/tillsyn/S 3685-2023 tillsynsbegäran.docx", "S 3685-2023")</f>
        <v/>
      </c>
      <c r="AD15">
        <f>HYPERLINK("https://klasma.github.io/Logging_1214/tillsynsmail/S 3685-2023 tillsynsbegäran mail.docx", "S 3685-2023")</f>
        <v/>
      </c>
    </row>
    <row r="16" ht="15" customHeight="1">
      <c r="A16" t="inlineStr">
        <is>
          <t>A 30657-2022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44763</v>
      </c>
      <c r="E16" s="1" t="n">
        <v>46319</v>
      </c>
      <c r="F16" t="inlineStr">
        <is>
          <t>SKÅNE LÄN</t>
        </is>
      </c>
      <c r="G16" t="inlineStr">
        <is>
          <t>SVALÖV</t>
        </is>
      </c>
      <c r="I16" t="n">
        <v>0.6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s="2" t="inlineStr"/>
    </row>
    <row r="17" ht="15" customHeight="1">
      <c r="A17" t="inlineStr">
        <is>
          <t>A 5937-2022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44598</v>
      </c>
      <c r="E17" s="1" t="n">
        <v>46319</v>
      </c>
      <c r="F17" t="inlineStr">
        <is>
          <t>SKÅNE LÄN</t>
        </is>
      </c>
      <c r="G17" t="inlineStr">
        <is>
          <t>SVALÖV</t>
        </is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s="2" t="inlineStr"/>
    </row>
    <row r="18" ht="15" customHeight="1">
      <c r="A18" t="inlineStr">
        <is>
          <t>A 46254-2022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44847</v>
      </c>
      <c r="E18" s="1" t="n">
        <v>46319</v>
      </c>
      <c r="F18" t="inlineStr">
        <is>
          <t>SKÅNE LÄN</t>
        </is>
      </c>
      <c r="G18" t="inlineStr">
        <is>
          <t>SVALÖV</t>
        </is>
      </c>
      <c r="I18" t="n">
        <v>0.5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s="2" t="inlineStr"/>
    </row>
    <row r="19" ht="15" customHeight="1">
      <c r="A19" t="inlineStr">
        <is>
          <t>A 61495-2021</t>
        </is>
      </c>
      <c r="B19" t="inlineStr">
        <is>
          <t>avverkningsanmälan</t>
        </is>
      </c>
      <c r="C19" t="inlineStr">
        <is>
          <t>Avverkning för annat ändamål</t>
        </is>
      </c>
      <c r="D19" s="1" t="n">
        <v>44501</v>
      </c>
      <c r="E19" s="1" t="n">
        <v>46319</v>
      </c>
      <c r="F19" t="inlineStr">
        <is>
          <t>SKÅNE LÄN</t>
        </is>
      </c>
      <c r="G19" t="inlineStr">
        <is>
          <t>SVALÖV</t>
        </is>
      </c>
      <c r="I19" t="n">
        <v>1.1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s="2" t="inlineStr"/>
    </row>
    <row r="20" ht="15" customHeight="1">
      <c r="A20" t="inlineStr">
        <is>
          <t>A 42617-2022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44831</v>
      </c>
      <c r="E20" s="1" t="n">
        <v>46319</v>
      </c>
      <c r="F20" t="inlineStr">
        <is>
          <t>SKÅNE LÄN</t>
        </is>
      </c>
      <c r="G20" t="inlineStr">
        <is>
          <t>SVALÖV</t>
        </is>
      </c>
      <c r="I20" t="n">
        <v>0.6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s="2" t="inlineStr"/>
    </row>
    <row r="21" ht="15" customHeight="1">
      <c r="A21" t="inlineStr">
        <is>
          <t>A 47717-2022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44854</v>
      </c>
      <c r="E21" s="1" t="n">
        <v>46319</v>
      </c>
      <c r="F21" t="inlineStr">
        <is>
          <t>SKÅNE LÄN</t>
        </is>
      </c>
      <c r="G21" t="inlineStr">
        <is>
          <t>SVALÖV</t>
        </is>
      </c>
      <c r="I21" t="n">
        <v>0.6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s="2" t="inlineStr"/>
    </row>
    <row r="22" ht="15" customHeight="1">
      <c r="A22" t="inlineStr">
        <is>
          <t>A 16215-2022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44670</v>
      </c>
      <c r="E22" s="1" t="n">
        <v>46319</v>
      </c>
      <c r="F22" t="inlineStr">
        <is>
          <t>SKÅNE LÄN</t>
        </is>
      </c>
      <c r="G22" t="inlineStr">
        <is>
          <t>SVALÖV</t>
        </is>
      </c>
      <c r="I22" t="n">
        <v>2.9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s="2" t="inlineStr"/>
    </row>
    <row r="23" ht="15" customHeight="1">
      <c r="A23" t="inlineStr">
        <is>
          <t>A 61620-2022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44910</v>
      </c>
      <c r="E23" s="1" t="n">
        <v>46319</v>
      </c>
      <c r="F23" t="inlineStr">
        <is>
          <t>SKÅNE LÄN</t>
        </is>
      </c>
      <c r="G23" t="inlineStr">
        <is>
          <t>SVALÖV</t>
        </is>
      </c>
      <c r="I23" t="n">
        <v>1.5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s="2" t="inlineStr"/>
    </row>
    <row r="24" ht="15" customHeight="1">
      <c r="A24" t="inlineStr">
        <is>
          <t>A 13245-2024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45386</v>
      </c>
      <c r="E24" s="1" t="n">
        <v>46319</v>
      </c>
      <c r="F24" t="inlineStr">
        <is>
          <t>SKÅNE LÄN</t>
        </is>
      </c>
      <c r="G24" t="inlineStr">
        <is>
          <t>SVALÖV</t>
        </is>
      </c>
      <c r="I24" t="n">
        <v>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s="2" t="inlineStr"/>
    </row>
    <row r="25" ht="15" customHeight="1">
      <c r="A25" t="inlineStr">
        <is>
          <t>A 42706-2025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45908</v>
      </c>
      <c r="E25" s="1" t="n">
        <v>46319</v>
      </c>
      <c r="F25" t="inlineStr">
        <is>
          <t>SKÅNE LÄN</t>
        </is>
      </c>
      <c r="G25" t="inlineStr">
        <is>
          <t>SVALÖV</t>
        </is>
      </c>
      <c r="I25" t="n">
        <v>0.5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s="2" t="inlineStr"/>
    </row>
    <row r="26" ht="15" customHeight="1">
      <c r="A26" t="inlineStr">
        <is>
          <t>A 43425-2025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45911</v>
      </c>
      <c r="E26" s="1" t="n">
        <v>46319</v>
      </c>
      <c r="F26" t="inlineStr">
        <is>
          <t>SKÅNE LÄN</t>
        </is>
      </c>
      <c r="G26" t="inlineStr">
        <is>
          <t>SVALÖV</t>
        </is>
      </c>
      <c r="I26" t="n">
        <v>2.1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s="2" t="inlineStr"/>
    </row>
    <row r="27" ht="15" customHeight="1">
      <c r="A27" t="inlineStr">
        <is>
          <t>A 8924-2023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44974</v>
      </c>
      <c r="E27" s="1" t="n">
        <v>46319</v>
      </c>
      <c r="F27" t="inlineStr">
        <is>
          <t>SKÅNE LÄN</t>
        </is>
      </c>
      <c r="G27" t="inlineStr">
        <is>
          <t>SVALÖV</t>
        </is>
      </c>
      <c r="I27" t="n">
        <v>6.8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s="2" t="inlineStr"/>
    </row>
    <row r="28" ht="15" customHeight="1">
      <c r="A28" t="inlineStr">
        <is>
          <t>A 18438-2026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46127</v>
      </c>
      <c r="E28" s="1" t="n">
        <v>46319</v>
      </c>
      <c r="F28" t="inlineStr">
        <is>
          <t>SKÅNE LÄN</t>
        </is>
      </c>
      <c r="G28" t="inlineStr">
        <is>
          <t>SVALÖV</t>
        </is>
      </c>
      <c r="I28" t="n">
        <v>1.6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s="2" t="inlineStr"/>
    </row>
    <row r="29" ht="15" customHeight="1">
      <c r="A29" t="inlineStr">
        <is>
          <t>A 24286-2026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46169</v>
      </c>
      <c r="E29" s="1" t="n">
        <v>46319</v>
      </c>
      <c r="F29" t="inlineStr">
        <is>
          <t>SKÅNE LÄN</t>
        </is>
      </c>
      <c r="G29" t="inlineStr">
        <is>
          <t>SVALÖV</t>
        </is>
      </c>
      <c r="I29" t="n">
        <v>0.9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s="2" t="inlineStr"/>
    </row>
    <row r="30" ht="15" customHeight="1">
      <c r="A30" t="inlineStr">
        <is>
          <t>A 47139-2025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45929</v>
      </c>
      <c r="E30" s="1" t="n">
        <v>46319</v>
      </c>
      <c r="F30" t="inlineStr">
        <is>
          <t>SKÅNE LÄN</t>
        </is>
      </c>
      <c r="G30" t="inlineStr">
        <is>
          <t>SVALÖV</t>
        </is>
      </c>
      <c r="I30" t="n">
        <v>1.1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s="2" t="inlineStr"/>
    </row>
    <row r="31" ht="15" customHeight="1">
      <c r="A31" t="inlineStr">
        <is>
          <t>A 58970-2025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45987</v>
      </c>
      <c r="E31" s="1" t="n">
        <v>46319</v>
      </c>
      <c r="F31" t="inlineStr">
        <is>
          <t>SKÅNE LÄN</t>
        </is>
      </c>
      <c r="G31" t="inlineStr">
        <is>
          <t>SVALÖV</t>
        </is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s="2" t="inlineStr"/>
    </row>
    <row r="32" ht="15" customHeight="1">
      <c r="A32" t="inlineStr">
        <is>
          <t>A 497-2023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44930</v>
      </c>
      <c r="E32" s="1" t="n">
        <v>46319</v>
      </c>
      <c r="F32" t="inlineStr">
        <is>
          <t>SKÅNE LÄN</t>
        </is>
      </c>
      <c r="G32" t="inlineStr">
        <is>
          <t>SVALÖV</t>
        </is>
      </c>
      <c r="I32" t="n">
        <v>0.8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s="2" t="inlineStr"/>
    </row>
    <row r="33" ht="15" customHeight="1">
      <c r="A33" t="inlineStr">
        <is>
          <t>A 11633-2024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45373</v>
      </c>
      <c r="E33" s="1" t="n">
        <v>46319</v>
      </c>
      <c r="F33" t="inlineStr">
        <is>
          <t>SKÅNE LÄN</t>
        </is>
      </c>
      <c r="G33" t="inlineStr">
        <is>
          <t>SVALÖV</t>
        </is>
      </c>
      <c r="I33" t="n">
        <v>4.9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2" t="inlineStr"/>
    </row>
    <row r="34" ht="15" customHeight="1">
      <c r="A34" t="inlineStr">
        <is>
          <t>A 11922-2023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44993</v>
      </c>
      <c r="E34" s="1" t="n">
        <v>46319</v>
      </c>
      <c r="F34" t="inlineStr">
        <is>
          <t>SKÅNE LÄN</t>
        </is>
      </c>
      <c r="G34" t="inlineStr">
        <is>
          <t>SVALÖV</t>
        </is>
      </c>
      <c r="I34" t="n">
        <v>0.9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2" t="inlineStr"/>
    </row>
    <row r="35" ht="15" customHeight="1">
      <c r="A35" t="inlineStr">
        <is>
          <t>A 25522-2026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46177</v>
      </c>
      <c r="E35" s="1" t="n">
        <v>46319</v>
      </c>
      <c r="F35" t="inlineStr">
        <is>
          <t>SKÅNE LÄN</t>
        </is>
      </c>
      <c r="G35" t="inlineStr">
        <is>
          <t>SVALÖV</t>
        </is>
      </c>
      <c r="I35" t="n">
        <v>8.5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2" t="inlineStr"/>
    </row>
    <row r="36" ht="15" customHeight="1">
      <c r="A36" t="inlineStr">
        <is>
          <t>A 14546-2024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45394</v>
      </c>
      <c r="E36" s="1" t="n">
        <v>46319</v>
      </c>
      <c r="F36" t="inlineStr">
        <is>
          <t>SKÅNE LÄN</t>
        </is>
      </c>
      <c r="G36" t="inlineStr">
        <is>
          <t>SVALÖV</t>
        </is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21774-2024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45442</v>
      </c>
      <c r="E37" s="1" t="n">
        <v>46319</v>
      </c>
      <c r="F37" t="inlineStr">
        <is>
          <t>SKÅNE LÄN</t>
        </is>
      </c>
      <c r="G37" t="inlineStr">
        <is>
          <t>SVALÖV</t>
        </is>
      </c>
      <c r="I37" t="n">
        <v>0.6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32620-2023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45111</v>
      </c>
      <c r="E38" s="1" t="n">
        <v>46319</v>
      </c>
      <c r="F38" t="inlineStr">
        <is>
          <t>SKÅNE LÄN</t>
        </is>
      </c>
      <c r="G38" t="inlineStr">
        <is>
          <t>SVALÖV</t>
        </is>
      </c>
      <c r="I38" t="n">
        <v>1.4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43294-2025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45910</v>
      </c>
      <c r="E39" s="1" t="n">
        <v>46319</v>
      </c>
      <c r="F39" t="inlineStr">
        <is>
          <t>SKÅNE LÄN</t>
        </is>
      </c>
      <c r="G39" t="inlineStr">
        <is>
          <t>SVALÖV</t>
        </is>
      </c>
      <c r="I39" t="n">
        <v>2.6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1592-2024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45306</v>
      </c>
      <c r="E40" s="1" t="n">
        <v>46319</v>
      </c>
      <c r="F40" t="inlineStr">
        <is>
          <t>SKÅNE LÄN</t>
        </is>
      </c>
      <c r="G40" t="inlineStr">
        <is>
          <t>SVALÖV</t>
        </is>
      </c>
      <c r="I40" t="n">
        <v>2.2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4149-2022</t>
        </is>
      </c>
      <c r="B41" t="inlineStr">
        <is>
          <t>avverkningsanmälan</t>
        </is>
      </c>
      <c r="C41" t="inlineStr">
        <is>
          <t>Avverkning för annat ändamål</t>
        </is>
      </c>
      <c r="D41" s="1" t="n">
        <v>44588</v>
      </c>
      <c r="E41" s="1" t="n">
        <v>46319</v>
      </c>
      <c r="F41" t="inlineStr">
        <is>
          <t>SKÅNE LÄN</t>
        </is>
      </c>
      <c r="G41" t="inlineStr">
        <is>
          <t>SVALÖV</t>
        </is>
      </c>
      <c r="I41" t="n">
        <v>1.1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15487-2025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45747</v>
      </c>
      <c r="E42" s="1" t="n">
        <v>46319</v>
      </c>
      <c r="F42" t="inlineStr">
        <is>
          <t>SKÅNE LÄN</t>
        </is>
      </c>
      <c r="G42" t="inlineStr">
        <is>
          <t>SVALÖV</t>
        </is>
      </c>
      <c r="I42" t="n">
        <v>0.9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25832-2026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46178</v>
      </c>
      <c r="E43" s="1" t="n">
        <v>46319</v>
      </c>
      <c r="F43" t="inlineStr">
        <is>
          <t>SKÅNE LÄN</t>
        </is>
      </c>
      <c r="G43" t="inlineStr">
        <is>
          <t>SVALÖV</t>
        </is>
      </c>
      <c r="I43" t="n">
        <v>7.8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29337-2026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46202</v>
      </c>
      <c r="E44" s="1" t="n">
        <v>46319</v>
      </c>
      <c r="F44" t="inlineStr">
        <is>
          <t>SKÅNE LÄN</t>
        </is>
      </c>
      <c r="G44" t="inlineStr">
        <is>
          <t>SVALÖV</t>
        </is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30535-2026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46210</v>
      </c>
      <c r="E45" s="1" t="n">
        <v>46319</v>
      </c>
      <c r="F45" t="inlineStr">
        <is>
          <t>SKÅNE LÄN</t>
        </is>
      </c>
      <c r="G45" t="inlineStr">
        <is>
          <t>SVALÖV</t>
        </is>
      </c>
      <c r="I45" t="n">
        <v>0.8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30202-2026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46206</v>
      </c>
      <c r="E46" s="1" t="n">
        <v>46319</v>
      </c>
      <c r="F46" t="inlineStr">
        <is>
          <t>SKÅNE LÄN</t>
        </is>
      </c>
      <c r="G46" t="inlineStr">
        <is>
          <t>SVALÖV</t>
        </is>
      </c>
      <c r="I46" t="n">
        <v>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11101-2023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44986</v>
      </c>
      <c r="E47" s="1" t="n">
        <v>46319</v>
      </c>
      <c r="F47" t="inlineStr">
        <is>
          <t>SKÅNE LÄN</t>
        </is>
      </c>
      <c r="G47" t="inlineStr">
        <is>
          <t>SVALÖV</t>
        </is>
      </c>
      <c r="I47" t="n">
        <v>1.5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5184-2024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45330</v>
      </c>
      <c r="E48" s="1" t="n">
        <v>46319</v>
      </c>
      <c r="F48" t="inlineStr">
        <is>
          <t>SKÅNE LÄN</t>
        </is>
      </c>
      <c r="G48" t="inlineStr">
        <is>
          <t>SVALÖV</t>
        </is>
      </c>
      <c r="I48" t="n">
        <v>2.2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13273-2024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45386</v>
      </c>
      <c r="E49" s="1" t="n">
        <v>46319</v>
      </c>
      <c r="F49" t="inlineStr">
        <is>
          <t>SKÅNE LÄN</t>
        </is>
      </c>
      <c r="G49" t="inlineStr">
        <is>
          <t>SVALÖV</t>
        </is>
      </c>
      <c r="I49" t="n">
        <v>12.4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44196-2024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45573</v>
      </c>
      <c r="E50" s="1" t="n">
        <v>46319</v>
      </c>
      <c r="F50" t="inlineStr">
        <is>
          <t>SKÅNE LÄN</t>
        </is>
      </c>
      <c r="G50" t="inlineStr">
        <is>
          <t>SVALÖV</t>
        </is>
      </c>
      <c r="I50" t="n">
        <v>1.8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43466-2025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45911</v>
      </c>
      <c r="E51" s="1" t="n">
        <v>46319</v>
      </c>
      <c r="F51" t="inlineStr">
        <is>
          <t>SKÅNE LÄN</t>
        </is>
      </c>
      <c r="G51" t="inlineStr">
        <is>
          <t>SVALÖV</t>
        </is>
      </c>
      <c r="I51" t="n">
        <v>4.5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43004-2025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45909</v>
      </c>
      <c r="E52" s="1" t="n">
        <v>46319</v>
      </c>
      <c r="F52" t="inlineStr">
        <is>
          <t>SKÅNE LÄN</t>
        </is>
      </c>
      <c r="G52" t="inlineStr">
        <is>
          <t>SVALÖV</t>
        </is>
      </c>
      <c r="I52" t="n">
        <v>1.6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21556-2025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45782</v>
      </c>
      <c r="E53" s="1" t="n">
        <v>46319</v>
      </c>
      <c r="F53" t="inlineStr">
        <is>
          <t>SKÅNE LÄN</t>
        </is>
      </c>
      <c r="G53" t="inlineStr">
        <is>
          <t>SVALÖV</t>
        </is>
      </c>
      <c r="I53" t="n">
        <v>1.3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21541-2025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45782</v>
      </c>
      <c r="E54" s="1" t="n">
        <v>46319</v>
      </c>
      <c r="F54" t="inlineStr">
        <is>
          <t>SKÅNE LÄN</t>
        </is>
      </c>
      <c r="G54" t="inlineStr">
        <is>
          <t>SVALÖV</t>
        </is>
      </c>
      <c r="I54" t="n">
        <v>3.1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21814-2025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45783</v>
      </c>
      <c r="E55" s="1" t="n">
        <v>46319</v>
      </c>
      <c r="F55" t="inlineStr">
        <is>
          <t>SKÅNE LÄN</t>
        </is>
      </c>
      <c r="G55" t="inlineStr">
        <is>
          <t>SVALÖV</t>
        </is>
      </c>
      <c r="I55" t="n">
        <v>2.4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20047-2024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45434</v>
      </c>
      <c r="E56" s="1" t="n">
        <v>46319</v>
      </c>
      <c r="F56" t="inlineStr">
        <is>
          <t>SKÅNE LÄN</t>
        </is>
      </c>
      <c r="G56" t="inlineStr">
        <is>
          <t>SVALÖV</t>
        </is>
      </c>
      <c r="I56" t="n">
        <v>2.3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34808-2024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45526</v>
      </c>
      <c r="E57" s="1" t="n">
        <v>46319</v>
      </c>
      <c r="F57" t="inlineStr">
        <is>
          <t>SKÅNE LÄN</t>
        </is>
      </c>
      <c r="G57" t="inlineStr">
        <is>
          <t>SVALÖV</t>
        </is>
      </c>
      <c r="I57" t="n">
        <v>3.6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5167-2024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45330</v>
      </c>
      <c r="E58" s="1" t="n">
        <v>46319</v>
      </c>
      <c r="F58" t="inlineStr">
        <is>
          <t>SKÅNE LÄN</t>
        </is>
      </c>
      <c r="G58" t="inlineStr">
        <is>
          <t>SVALÖV</t>
        </is>
      </c>
      <c r="I58" t="n">
        <v>6.5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23747-2025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45793</v>
      </c>
      <c r="E59" s="1" t="n">
        <v>46319</v>
      </c>
      <c r="F59" t="inlineStr">
        <is>
          <t>SKÅNE LÄN</t>
        </is>
      </c>
      <c r="G59" t="inlineStr">
        <is>
          <t>SVALÖV</t>
        </is>
      </c>
      <c r="I59" t="n">
        <v>2.6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24513-2025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45798</v>
      </c>
      <c r="E60" s="1" t="n">
        <v>46319</v>
      </c>
      <c r="F60" t="inlineStr">
        <is>
          <t>SKÅNE LÄN</t>
        </is>
      </c>
      <c r="G60" t="inlineStr">
        <is>
          <t>SVALÖV</t>
        </is>
      </c>
      <c r="I60" t="n">
        <v>0.4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27310-2023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45096</v>
      </c>
      <c r="E61" s="1" t="n">
        <v>46319</v>
      </c>
      <c r="F61" t="inlineStr">
        <is>
          <t>SKÅNE LÄN</t>
        </is>
      </c>
      <c r="G61" t="inlineStr">
        <is>
          <t>SVALÖV</t>
        </is>
      </c>
      <c r="I61" t="n">
        <v>2.5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5068-2026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46049</v>
      </c>
      <c r="E62" s="1" t="n">
        <v>46319</v>
      </c>
      <c r="F62" t="inlineStr">
        <is>
          <t>SKÅNE LÄN</t>
        </is>
      </c>
      <c r="G62" t="inlineStr">
        <is>
          <t>SVALÖV</t>
        </is>
      </c>
      <c r="I62" t="n">
        <v>3.5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22794-2024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45448</v>
      </c>
      <c r="E63" s="1" t="n">
        <v>46319</v>
      </c>
      <c r="F63" t="inlineStr">
        <is>
          <t>SKÅNE LÄN</t>
        </is>
      </c>
      <c r="G63" t="inlineStr">
        <is>
          <t>SVALÖV</t>
        </is>
      </c>
      <c r="I63" t="n">
        <v>3.8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59266-2025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45988</v>
      </c>
      <c r="E64" s="1" t="n">
        <v>46319</v>
      </c>
      <c r="F64" t="inlineStr">
        <is>
          <t>SKÅNE LÄN</t>
        </is>
      </c>
      <c r="G64" t="inlineStr">
        <is>
          <t>SVALÖV</t>
        </is>
      </c>
      <c r="I64" t="n">
        <v>1.8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6365-2026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46051</v>
      </c>
      <c r="E65" s="1" t="n">
        <v>46319</v>
      </c>
      <c r="F65" t="inlineStr">
        <is>
          <t>SKÅNE LÄN</t>
        </is>
      </c>
      <c r="G65" t="inlineStr">
        <is>
          <t>SVALÖV</t>
        </is>
      </c>
      <c r="I65" t="n">
        <v>2.9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40882-2026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46297</v>
      </c>
      <c r="E66" s="1" t="n">
        <v>46319</v>
      </c>
      <c r="F66" t="inlineStr">
        <is>
          <t>SKÅNE LÄN</t>
        </is>
      </c>
      <c r="G66" t="inlineStr">
        <is>
          <t>SVALÖV</t>
        </is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40917-2026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46297</v>
      </c>
      <c r="E67" s="1" t="n">
        <v>46319</v>
      </c>
      <c r="F67" t="inlineStr">
        <is>
          <t>SKÅNE LÄN</t>
        </is>
      </c>
      <c r="G67" t="inlineStr">
        <is>
          <t>SVALÖV</t>
        </is>
      </c>
      <c r="I67" t="n">
        <v>8.1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40910-2026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46297</v>
      </c>
      <c r="E68" s="1" t="n">
        <v>46319</v>
      </c>
      <c r="F68" t="inlineStr">
        <is>
          <t>SKÅNE LÄN</t>
        </is>
      </c>
      <c r="G68" t="inlineStr">
        <is>
          <t>SVALÖV</t>
        </is>
      </c>
      <c r="I68" t="n">
        <v>3.8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22063-2025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45785</v>
      </c>
      <c r="E69" s="1" t="n">
        <v>46319</v>
      </c>
      <c r="F69" t="inlineStr">
        <is>
          <t>SKÅNE LÄN</t>
        </is>
      </c>
      <c r="G69" t="inlineStr">
        <is>
          <t>SVALÖV</t>
        </is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40895-2026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46297</v>
      </c>
      <c r="E70" s="1" t="n">
        <v>46319</v>
      </c>
      <c r="F70" t="inlineStr">
        <is>
          <t>SKÅNE LÄN</t>
        </is>
      </c>
      <c r="G70" t="inlineStr">
        <is>
          <t>SVALÖV</t>
        </is>
      </c>
      <c r="I70" t="n">
        <v>0.7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14533-2026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46100</v>
      </c>
      <c r="E71" s="1" t="n">
        <v>46319</v>
      </c>
      <c r="F71" t="inlineStr">
        <is>
          <t>SKÅNE LÄN</t>
        </is>
      </c>
      <c r="G71" t="inlineStr">
        <is>
          <t>SVALÖV</t>
        </is>
      </c>
      <c r="I71" t="n">
        <v>1.2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17980-2025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45761</v>
      </c>
      <c r="E72" s="1" t="n">
        <v>46319</v>
      </c>
      <c r="F72" t="inlineStr">
        <is>
          <t>SKÅNE LÄN</t>
        </is>
      </c>
      <c r="G72" t="inlineStr">
        <is>
          <t>SVALÖV</t>
        </is>
      </c>
      <c r="I72" t="n">
        <v>3.4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19282-2025</t>
        </is>
      </c>
      <c r="B73" t="inlineStr">
        <is>
          <t>avverkningsanmälan</t>
        </is>
      </c>
      <c r="C73" t="inlineStr">
        <is>
          <t>Avverkning för annat ändamål</t>
        </is>
      </c>
      <c r="D73" s="1" t="n">
        <v>45769</v>
      </c>
      <c r="E73" s="1" t="n">
        <v>46319</v>
      </c>
      <c r="F73" t="inlineStr">
        <is>
          <t>SKÅNE LÄN</t>
        </is>
      </c>
      <c r="G73" t="inlineStr">
        <is>
          <t>SVALÖV</t>
        </is>
      </c>
      <c r="I73" t="n">
        <v>0.8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27380-2026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46189</v>
      </c>
      <c r="E74" s="1" t="n">
        <v>46319</v>
      </c>
      <c r="F74" t="inlineStr">
        <is>
          <t>SKÅNE LÄN</t>
        </is>
      </c>
      <c r="G74" t="inlineStr">
        <is>
          <t>SVALÖV</t>
        </is>
      </c>
      <c r="I74" t="n">
        <v>1.7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15747-2026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46107</v>
      </c>
      <c r="E75" s="1" t="n">
        <v>46319</v>
      </c>
      <c r="F75" t="inlineStr">
        <is>
          <t>SKÅNE LÄN</t>
        </is>
      </c>
      <c r="G75" t="inlineStr">
        <is>
          <t>SVALÖV</t>
        </is>
      </c>
      <c r="I75" t="n">
        <v>1.4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35587-2024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45531</v>
      </c>
      <c r="E76" s="1" t="n">
        <v>46319</v>
      </c>
      <c r="F76" t="inlineStr">
        <is>
          <t>SKÅNE LÄN</t>
        </is>
      </c>
      <c r="G76" t="inlineStr">
        <is>
          <t>SVALÖV</t>
        </is>
      </c>
      <c r="I76" t="n">
        <v>1.6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3430-2026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46042</v>
      </c>
      <c r="E77" s="1" t="n">
        <v>46319</v>
      </c>
      <c r="F77" t="inlineStr">
        <is>
          <t>SKÅNE LÄN</t>
        </is>
      </c>
      <c r="G77" t="inlineStr">
        <is>
          <t>SVALÖV</t>
        </is>
      </c>
      <c r="I77" t="n">
        <v>5.7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37907-2025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45880</v>
      </c>
      <c r="E78" s="1" t="n">
        <v>46319</v>
      </c>
      <c r="F78" t="inlineStr">
        <is>
          <t>SKÅNE LÄN</t>
        </is>
      </c>
      <c r="G78" t="inlineStr">
        <is>
          <t>SVALÖV</t>
        </is>
      </c>
      <c r="H78" t="inlineStr">
        <is>
          <t>Kyrkan</t>
        </is>
      </c>
      <c r="I78" t="n">
        <v>5.7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40470-2025</t>
        </is>
      </c>
      <c r="B79" t="inlineStr">
        <is>
          <t>avverkningsanmälan</t>
        </is>
      </c>
      <c r="C79" t="inlineStr">
        <is>
          <t>Avverkning för annat ändamål</t>
        </is>
      </c>
      <c r="D79" s="1" t="n">
        <v>45895</v>
      </c>
      <c r="E79" s="1" t="n">
        <v>46319</v>
      </c>
      <c r="F79" t="inlineStr">
        <is>
          <t>SKÅNE LÄN</t>
        </is>
      </c>
      <c r="G79" t="inlineStr">
        <is>
          <t>SVALÖV</t>
        </is>
      </c>
      <c r="I79" t="n">
        <v>0.1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34810-2023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45141</v>
      </c>
      <c r="E80" s="1" t="n">
        <v>46319</v>
      </c>
      <c r="F80" t="inlineStr">
        <is>
          <t>SKÅNE LÄN</t>
        </is>
      </c>
      <c r="G80" t="inlineStr">
        <is>
          <t>SVALÖV</t>
        </is>
      </c>
      <c r="I80" t="n">
        <v>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16667-2023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45030</v>
      </c>
      <c r="E81" s="1" t="n">
        <v>46319</v>
      </c>
      <c r="F81" t="inlineStr">
        <is>
          <t>SKÅNE LÄN</t>
        </is>
      </c>
      <c r="G81" t="inlineStr">
        <is>
          <t>SVALÖV</t>
        </is>
      </c>
      <c r="I81" t="n">
        <v>3.8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62201-2025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46006</v>
      </c>
      <c r="E82" s="1" t="n">
        <v>46319</v>
      </c>
      <c r="F82" t="inlineStr">
        <is>
          <t>SKÅNE LÄN</t>
        </is>
      </c>
      <c r="G82" t="inlineStr">
        <is>
          <t>SVALÖV</t>
        </is>
      </c>
      <c r="I82" t="n">
        <v>22.1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43498-2026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46315</v>
      </c>
      <c r="E83" s="1" t="n">
        <v>46319</v>
      </c>
      <c r="F83" t="inlineStr">
        <is>
          <t>SKÅNE LÄN</t>
        </is>
      </c>
      <c r="G83" t="inlineStr">
        <is>
          <t>SVALÖV</t>
        </is>
      </c>
      <c r="I83" t="n">
        <v>1.8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13791-2026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46097</v>
      </c>
      <c r="E84" s="1" t="n">
        <v>46319</v>
      </c>
      <c r="F84" t="inlineStr">
        <is>
          <t>SKÅNE LÄN</t>
        </is>
      </c>
      <c r="G84" t="inlineStr">
        <is>
          <t>SVALÖV</t>
        </is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13787-2026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46097</v>
      </c>
      <c r="E85" s="1" t="n">
        <v>46319</v>
      </c>
      <c r="F85" t="inlineStr">
        <is>
          <t>SKÅNE LÄN</t>
        </is>
      </c>
      <c r="G85" t="inlineStr">
        <is>
          <t>SVALÖV</t>
        </is>
      </c>
      <c r="I85" t="n">
        <v>3.7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8332-2025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45708</v>
      </c>
      <c r="E86" s="1" t="n">
        <v>46319</v>
      </c>
      <c r="F86" t="inlineStr">
        <is>
          <t>SKÅNE LÄN</t>
        </is>
      </c>
      <c r="G86" t="inlineStr">
        <is>
          <t>SVALÖV</t>
        </is>
      </c>
      <c r="I86" t="n">
        <v>0.5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14543-2024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45394</v>
      </c>
      <c r="E87" s="1" t="n">
        <v>46319</v>
      </c>
      <c r="F87" t="inlineStr">
        <is>
          <t>SKÅNE LÄN</t>
        </is>
      </c>
      <c r="G87" t="inlineStr">
        <is>
          <t>SVALÖV</t>
        </is>
      </c>
      <c r="I87" t="n">
        <v>0.7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20170-2024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45434</v>
      </c>
      <c r="E88" s="1" t="n">
        <v>46319</v>
      </c>
      <c r="F88" t="inlineStr">
        <is>
          <t>SKÅNE LÄN</t>
        </is>
      </c>
      <c r="G88" t="inlineStr">
        <is>
          <t>SVALÖV</t>
        </is>
      </c>
      <c r="I88" t="n">
        <v>0.6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62403-2022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44923</v>
      </c>
      <c r="E89" s="1" t="n">
        <v>46319</v>
      </c>
      <c r="F89" t="inlineStr">
        <is>
          <t>SKÅNE LÄN</t>
        </is>
      </c>
      <c r="G89" t="inlineStr">
        <is>
          <t>SVALÖV</t>
        </is>
      </c>
      <c r="I89" t="n">
        <v>2.2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15157-2023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45016</v>
      </c>
      <c r="E90" s="1" t="n">
        <v>46319</v>
      </c>
      <c r="F90" t="inlineStr">
        <is>
          <t>SKÅNE LÄN</t>
        </is>
      </c>
      <c r="G90" t="inlineStr">
        <is>
          <t>SVALÖV</t>
        </is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11491-2023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44991</v>
      </c>
      <c r="E91" s="1" t="n">
        <v>46319</v>
      </c>
      <c r="F91" t="inlineStr">
        <is>
          <t>SKÅNE LÄN</t>
        </is>
      </c>
      <c r="G91" t="inlineStr">
        <is>
          <t>SVALÖV</t>
        </is>
      </c>
      <c r="I91" t="n">
        <v>2.8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10209-2023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44986</v>
      </c>
      <c r="E92" s="1" t="n">
        <v>46319</v>
      </c>
      <c r="F92" t="inlineStr">
        <is>
          <t>SKÅNE LÄN</t>
        </is>
      </c>
      <c r="G92" t="inlineStr">
        <is>
          <t>SVALÖV</t>
        </is>
      </c>
      <c r="I92" t="n">
        <v>1.2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44107-2023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45188</v>
      </c>
      <c r="E93" s="1" t="n">
        <v>46319</v>
      </c>
      <c r="F93" t="inlineStr">
        <is>
          <t>SKÅNE LÄN</t>
        </is>
      </c>
      <c r="G93" t="inlineStr">
        <is>
          <t>SVALÖV</t>
        </is>
      </c>
      <c r="I93" t="n">
        <v>2.3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22262-2023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45070</v>
      </c>
      <c r="E94" s="1" t="n">
        <v>46319</v>
      </c>
      <c r="F94" t="inlineStr">
        <is>
          <t>SKÅNE LÄN</t>
        </is>
      </c>
      <c r="G94" t="inlineStr">
        <is>
          <t>SVALÖV</t>
        </is>
      </c>
      <c r="I94" t="n">
        <v>1.1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49032-2022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44860</v>
      </c>
      <c r="E95" s="1" t="n">
        <v>46319</v>
      </c>
      <c r="F95" t="inlineStr">
        <is>
          <t>SKÅNE LÄN</t>
        </is>
      </c>
      <c r="G95" t="inlineStr">
        <is>
          <t>SVALÖV</t>
        </is>
      </c>
      <c r="I95" t="n">
        <v>3.7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18121-2025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45761</v>
      </c>
      <c r="E96" s="1" t="n">
        <v>46319</v>
      </c>
      <c r="F96" t="inlineStr">
        <is>
          <t>SKÅNE LÄN</t>
        </is>
      </c>
      <c r="G96" t="inlineStr">
        <is>
          <t>SVALÖV</t>
        </is>
      </c>
      <c r="I96" t="n">
        <v>1.7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6335-2022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44600</v>
      </c>
      <c r="E97" s="1" t="n">
        <v>46319</v>
      </c>
      <c r="F97" t="inlineStr">
        <is>
          <t>SKÅNE LÄN</t>
        </is>
      </c>
      <c r="G97" t="inlineStr">
        <is>
          <t>SVALÖV</t>
        </is>
      </c>
      <c r="I97" t="n">
        <v>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10196-2025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45719</v>
      </c>
      <c r="E98" s="1" t="n">
        <v>46319</v>
      </c>
      <c r="F98" t="inlineStr">
        <is>
          <t>SKÅNE LÄN</t>
        </is>
      </c>
      <c r="G98" t="inlineStr">
        <is>
          <t>SVALÖV</t>
        </is>
      </c>
      <c r="I98" t="n">
        <v>0.5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44112-2023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45188</v>
      </c>
      <c r="E99" s="1" t="n">
        <v>46319</v>
      </c>
      <c r="F99" t="inlineStr">
        <is>
          <t>SKÅNE LÄN</t>
        </is>
      </c>
      <c r="G99" t="inlineStr">
        <is>
          <t>SVALÖV</t>
        </is>
      </c>
      <c r="I99" t="n">
        <v>0.5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35911-2023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45148</v>
      </c>
      <c r="E100" s="1" t="n">
        <v>46319</v>
      </c>
      <c r="F100" t="inlineStr">
        <is>
          <t>SKÅNE LÄN</t>
        </is>
      </c>
      <c r="G100" t="inlineStr">
        <is>
          <t>SVALÖV</t>
        </is>
      </c>
      <c r="I100" t="n">
        <v>0.9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42588-2023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45176</v>
      </c>
      <c r="E101" s="1" t="n">
        <v>46319</v>
      </c>
      <c r="F101" t="inlineStr">
        <is>
          <t>SKÅNE LÄN</t>
        </is>
      </c>
      <c r="G101" t="inlineStr">
        <is>
          <t>SVALÖV</t>
        </is>
      </c>
      <c r="I101" t="n">
        <v>1.1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1901-2025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45671</v>
      </c>
      <c r="E102" s="1" t="n">
        <v>46319</v>
      </c>
      <c r="F102" t="inlineStr">
        <is>
          <t>SKÅNE LÄN</t>
        </is>
      </c>
      <c r="G102" t="inlineStr">
        <is>
          <t>SVALÖV</t>
        </is>
      </c>
      <c r="I102" t="n">
        <v>4.2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1920-2025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45671</v>
      </c>
      <c r="E103" s="1" t="n">
        <v>46319</v>
      </c>
      <c r="F103" t="inlineStr">
        <is>
          <t>SKÅNE LÄN</t>
        </is>
      </c>
      <c r="G103" t="inlineStr">
        <is>
          <t>SVALÖV</t>
        </is>
      </c>
      <c r="I103" t="n">
        <v>2.3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43736-2023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45182</v>
      </c>
      <c r="E104" s="1" t="n">
        <v>46319</v>
      </c>
      <c r="F104" t="inlineStr">
        <is>
          <t>SKÅNE LÄN</t>
        </is>
      </c>
      <c r="G104" t="inlineStr">
        <is>
          <t>SVALÖV</t>
        </is>
      </c>
      <c r="I104" t="n">
        <v>1.2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9716-2022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44617</v>
      </c>
      <c r="E105" s="1" t="n">
        <v>46319</v>
      </c>
      <c r="F105" t="inlineStr">
        <is>
          <t>SKÅNE LÄN</t>
        </is>
      </c>
      <c r="G105" t="inlineStr">
        <is>
          <t>SVALÖV</t>
        </is>
      </c>
      <c r="I105" t="n">
        <v>0.7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37354-2022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44806</v>
      </c>
      <c r="E106" s="1" t="n">
        <v>46319</v>
      </c>
      <c r="F106" t="inlineStr">
        <is>
          <t>SKÅNE LÄN</t>
        </is>
      </c>
      <c r="G106" t="inlineStr">
        <is>
          <t>SVALÖV</t>
        </is>
      </c>
      <c r="I106" t="n">
        <v>1.4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5190-2024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45330</v>
      </c>
      <c r="E107" s="1" t="n">
        <v>46319</v>
      </c>
      <c r="F107" t="inlineStr">
        <is>
          <t>SKÅNE LÄN</t>
        </is>
      </c>
      <c r="G107" t="inlineStr">
        <is>
          <t>SVALÖV</t>
        </is>
      </c>
      <c r="I107" t="n">
        <v>2.1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17731-2025</t>
        </is>
      </c>
      <c r="B108" t="inlineStr">
        <is>
          <t>avverkningsanmälan</t>
        </is>
      </c>
      <c r="C108" t="inlineStr">
        <is>
          <t>Avverkning för annat ändamål</t>
        </is>
      </c>
      <c r="D108" s="1" t="n">
        <v>45758</v>
      </c>
      <c r="E108" s="1" t="n">
        <v>46319</v>
      </c>
      <c r="F108" t="inlineStr">
        <is>
          <t>SKÅNE LÄN</t>
        </is>
      </c>
      <c r="G108" t="inlineStr">
        <is>
          <t>SVALÖV</t>
        </is>
      </c>
      <c r="I108" t="n">
        <v>0.8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22792-2024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45448</v>
      </c>
      <c r="E109" s="1" t="n">
        <v>46319</v>
      </c>
      <c r="F109" t="inlineStr">
        <is>
          <t>SKÅNE LÄN</t>
        </is>
      </c>
      <c r="G109" t="inlineStr">
        <is>
          <t>SVALÖV</t>
        </is>
      </c>
      <c r="I109" t="n">
        <v>0.5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4964-2022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44593</v>
      </c>
      <c r="E110" s="1" t="n">
        <v>46319</v>
      </c>
      <c r="F110" t="inlineStr">
        <is>
          <t>SKÅNE LÄN</t>
        </is>
      </c>
      <c r="G110" t="inlineStr">
        <is>
          <t>SVALÖV</t>
        </is>
      </c>
      <c r="I110" t="n">
        <v>1.5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11177-2023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44987</v>
      </c>
      <c r="E111" s="1" t="n">
        <v>46319</v>
      </c>
      <c r="F111" t="inlineStr">
        <is>
          <t>SKÅNE LÄN</t>
        </is>
      </c>
      <c r="G111" t="inlineStr">
        <is>
          <t>SVALÖV</t>
        </is>
      </c>
      <c r="I111" t="n">
        <v>1.2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>
      <c r="A112" t="inlineStr">
        <is>
          <t>S 2185-2025</t>
        </is>
      </c>
      <c r="B112" t="inlineStr">
        <is>
          <t>samrådsanmälan</t>
        </is>
      </c>
      <c r="C112" t="inlineStr">
        <is>
          <t>Skogsbilväg</t>
        </is>
      </c>
      <c r="D112" s="1" t="n">
        <v>45854</v>
      </c>
      <c r="E112" s="1" t="n">
        <v>46319</v>
      </c>
      <c r="F112" t="inlineStr">
        <is>
          <t>SKÅNE LÄN</t>
        </is>
      </c>
      <c r="G112" t="inlineStr">
        <is>
          <t>SVALÖV</t>
        </is>
      </c>
      <c r="I112" t="n">
        <v>0.1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2026-10-24T02:04:31Z</dcterms:created>
  <dcterms:modified xmlns:dcterms="http://purl.org/dc/terms/" xmlns:xsi="http://www.w3.org/2001/XMLSchema-instance" xsi:type="dcterms:W3CDTF">2026-10-24T02:04:31Z</dcterms:modified>
</cp:coreProperties>
</file>